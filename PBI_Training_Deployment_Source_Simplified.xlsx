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pwc-my.sharepoint.com/personal/jayvee_geronimo_pwc_com/Documents/Downloads/Projects/GearDashboard/"/>
    </mc:Choice>
  </mc:AlternateContent>
  <xr:revisionPtr revIDLastSave="10" documentId="8_{F5C80BB6-13AE-44E3-8A38-F0DBD84CBF19}" xr6:coauthVersionLast="47" xr6:coauthVersionMax="47" xr10:uidLastSave="{6F5741D8-F998-4BB6-BA35-B1C4B1914C5C}"/>
  <bookViews>
    <workbookView xWindow="-80" yWindow="-80" windowWidth="19360" windowHeight="11440" activeTab="1" xr2:uid="{00000000-000D-0000-FFFF-FFFF00000000}"/>
  </bookViews>
  <sheets>
    <sheet name="README" sheetId="1" r:id="rId1"/>
    <sheet name="Training Data" sheetId="5" r:id="rId2"/>
    <sheet name="Deployment History" sheetId="6" r:id="rId3"/>
    <sheet name="Sheet1" sheetId="7" r:id="rId4"/>
    <sheet name="Training_Deployment_Data" sheetId="2" r:id="rId5"/>
    <sheet name="Project_History" sheetId="4" r:id="rId6"/>
    <sheet name="Lists" sheetId="3" state="hidden" r:id="rId7"/>
  </sheets>
  <definedNames>
    <definedName name="_xlnm._FilterDatabase" localSheetId="2" hidden="1">'Deployment History'!$A$1:$L$142</definedName>
    <definedName name="_xlnm._FilterDatabase" localSheetId="1" hidden="1">'Training Data'!$A$1:$S$91</definedName>
    <definedName name="_xlnm._FilterDatabase" localSheetId="4" hidden="1">Training_Deployment_Data!$A$1:$P$12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3" i="7" l="1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L1" authorId="0" shapeId="0" xr:uid="{E736165C-CD5D-48ED-B3C8-4D3EF1621715}">
      <text>
        <r>
          <rPr>
            <sz val="11"/>
            <color theme="1"/>
            <rFont val="Calibri"/>
            <family val="2"/>
            <scheme val="minor"/>
          </rPr>
          <t>The date the resource is fully trained and available for project deployment. This is the start date for standby measurement.</t>
        </r>
      </text>
    </comment>
    <comment ref="N1" authorId="0" shapeId="0" xr:uid="{68BD45FB-E613-4D2C-87BF-A1CC91E2615A}">
      <text>
        <r>
          <rPr>
            <sz val="11"/>
            <color theme="1"/>
            <rFont val="Calibri"/>
            <family val="2"/>
            <scheme val="minor"/>
          </rPr>
          <t>Actual project deployment/start date. If blank while Training Ready Date is populated, the resource is still on standby.</t>
        </r>
      </text>
    </comment>
    <comment ref="O1" authorId="0" shapeId="0" xr:uid="{C5290E9B-F510-45C8-B50F-FF81A75BBABC}">
      <text>
        <r>
          <rPr>
            <sz val="11"/>
            <color theme="1"/>
            <rFont val="Calibri"/>
            <family val="2"/>
            <scheme val="minor"/>
          </rPr>
          <t>Use the dropdown. Recommended rule: Not Ready before Training Ready Date; Ready / Standby when ready but no project start; Deployed when Project Start Date exists.</t>
        </r>
      </text>
    </comment>
    <comment ref="P1" authorId="0" shapeId="0" xr:uid="{A8204DD4-032A-45C1-B16B-44D6D12EF6A1}">
      <text>
        <r>
          <rPr>
            <sz val="11"/>
            <color theme="1"/>
            <rFont val="Calibri"/>
            <family val="2"/>
            <scheme val="minor"/>
          </rPr>
          <t>Use the dropdown. Recommended rule: Not Ready before Training Ready Date; Ready / Standby when ready but no project start; Deployed when Project Start Date exists.</t>
        </r>
      </text>
    </comment>
    <comment ref="Q1" authorId="0" shapeId="0" xr:uid="{60C58918-8119-4A37-9C20-9FCBEDD4C952}">
      <text>
        <r>
          <rPr>
            <sz val="11"/>
            <color theme="1"/>
            <rFont val="Calibri"/>
            <family val="2"/>
            <scheme val="minor"/>
          </rPr>
          <t>Use the dropdown. Recommended rule: Not Ready before Training Ready Date; Ready / Standby when ready but no project start; Deployed when Project Start Date exists.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J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The date the resource is fully trained and available for project deployment. This is the start date for standby measurement.</t>
        </r>
      </text>
    </comment>
    <comment ref="K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Actual project deployment/start date. If blank while Training Ready Date is populated, the resource is still on standby.</t>
        </r>
      </text>
    </comment>
    <comment ref="N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Use the dropdown. Recommended rule: Not Ready before Training Ready Date; Ready / Standby when ready but no project start; Deployed when Project Start Date exists.</t>
        </r>
      </text>
    </comment>
    <comment ref="O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Required when a resource is ready but not yet deployed, or when standby exceeds the 60-day threshold.</t>
        </r>
      </text>
    </comment>
  </commentList>
</comments>
</file>

<file path=xl/sharedStrings.xml><?xml version="1.0" encoding="utf-8"?>
<sst xmlns="http://schemas.openxmlformats.org/spreadsheetml/2006/main" count="2537" uniqueCount="498">
  <si>
    <t>Simplified Power BI Source – Training Effectiveness &amp; Standby</t>
  </si>
  <si>
    <t>Goal</t>
  </si>
  <si>
    <t>Use this file to answer one core question per selected batch: how long did resources wait after becoming training-ready before project deployment?</t>
  </si>
  <si>
    <t>Power BI source</t>
  </si>
  <si>
    <t>Load only the Excel table tblTrainingDeployment from the Training_Deployment_Data sheet.</t>
  </si>
  <si>
    <t>Row grain</t>
  </si>
  <si>
    <t>One row = one employee in one onboarding batch. The same employee may appear again only if they participate in a different batch.</t>
  </si>
  <si>
    <t>Batch slicer</t>
  </si>
  <si>
    <t>Use Batch_ID or Batch_Name as the page slicer. Batches are grouped by onboarding date, so 13-Jan-2025 is one batch containing both Dev and QA resources.</t>
  </si>
  <si>
    <t>Standby start</t>
  </si>
  <si>
    <t>Training_Ready_Date = the date the resource is fully trained and available for project deployment.</t>
  </si>
  <si>
    <t>Standby end</t>
  </si>
  <si>
    <t>Project_Start_Date = actual deployment/start date. If blank, calculate current standby through TODAY() in Power BI.</t>
  </si>
  <si>
    <t>60-day threshold</t>
  </si>
  <si>
    <t>Use 60 days as the deployment benchmark. 0–60 days = within threshold; greater than 60 days = long-term standby.</t>
  </si>
  <si>
    <t>Color guide</t>
  </si>
  <si>
    <t>Green text = imported from training-plan files; blue/light-blue cells = fields to fill or maintain; gray text = stable keys.</t>
  </si>
  <si>
    <t>Suggested Power BI metrics</t>
  </si>
  <si>
    <t>Total Resources</t>
  </si>
  <si>
    <t>Distinct employees in the selected batch.</t>
  </si>
  <si>
    <t>Ready for Deployment</t>
  </si>
  <si>
    <t>Resources with Training_Ready_Date populated.</t>
  </si>
  <si>
    <t>Deployed</t>
  </si>
  <si>
    <t>Resources with Project_Start_Date populated.</t>
  </si>
  <si>
    <t>Standby Days</t>
  </si>
  <si>
    <t>If deployed: Project_Start_Date - Training_Ready_Date. If not deployed: TODAY() - Training_Ready_Date.</t>
  </si>
  <si>
    <t>Standby &gt; 60 Days</t>
  </si>
  <si>
    <t>Resources whose Standby Days are greater than 60.</t>
  </si>
  <si>
    <t>Average Standby Days</t>
  </si>
  <si>
    <t>Average Standby Days for resources with a Training_Ready_Date.</t>
  </si>
  <si>
    <t>% Deployed Within 60 Days</t>
  </si>
  <si>
    <t>Resources deployed within 60 days divided by resources with a Training_Ready_Date.</t>
  </si>
  <si>
    <t>Seeded from the training plans</t>
  </si>
  <si>
    <t>11 employee-batch rows across 3 onboarding batches: GW-20241202 (3); GW-20241209 (2); GW-20250113 (6)</t>
  </si>
  <si>
    <t>Employee_Batch_Id</t>
  </si>
  <si>
    <t>Employee_Key</t>
  </si>
  <si>
    <t>Workday_ID</t>
  </si>
  <si>
    <t>Employee_Name</t>
  </si>
  <si>
    <t>Batch_ID</t>
  </si>
  <si>
    <t>Batch_Name</t>
  </si>
  <si>
    <t>Onboarding_Date</t>
  </si>
  <si>
    <t>Position</t>
  </si>
  <si>
    <t>Capability_Track</t>
  </si>
  <si>
    <t>Location</t>
  </si>
  <si>
    <t>Training_Ready_Date</t>
  </si>
  <si>
    <t>Employee_ID</t>
  </si>
  <si>
    <t>1st Project_Start_Date</t>
  </si>
  <si>
    <t>Current Deployment_Status</t>
  </si>
  <si>
    <t>Traning_End_Date</t>
  </si>
  <si>
    <t>Last_Working_Date</t>
  </si>
  <si>
    <t>EMP-0001_batch-0001</t>
  </si>
  <si>
    <t>EMP-0001</t>
  </si>
  <si>
    <t>Vergeth De Guzman</t>
  </si>
  <si>
    <t>batch-0001</t>
  </si>
  <si>
    <t>B1118_2024</t>
  </si>
  <si>
    <t>Senior Associate</t>
  </si>
  <si>
    <t>Quality Assurance</t>
  </si>
  <si>
    <t>OnDeployment</t>
  </si>
  <si>
    <t>EMP-0002_batch-0001</t>
  </si>
  <si>
    <t>EMP-0002</t>
  </si>
  <si>
    <t>Joeban Bayaborda Manguerra</t>
  </si>
  <si>
    <t>EMP-0003_batch-0002</t>
  </si>
  <si>
    <t>EMP-0003</t>
  </si>
  <si>
    <t>Jennedie Rojo</t>
  </si>
  <si>
    <t>batch-0002</t>
  </si>
  <si>
    <t>B1202_2024</t>
  </si>
  <si>
    <t>EMP-0004_batch-0002</t>
  </si>
  <si>
    <t>EMP-0004</t>
  </si>
  <si>
    <t>Tiffany Aethyl Gujol</t>
  </si>
  <si>
    <t>EMP-0005_batch-0001</t>
  </si>
  <si>
    <t>EMP-0005</t>
  </si>
  <si>
    <t>Ryan Christian Simbulan</t>
  </si>
  <si>
    <t>Associate</t>
  </si>
  <si>
    <t>EMP-0006_batch-0001</t>
  </si>
  <si>
    <t>EMP-0006</t>
  </si>
  <si>
    <t>Leo Angelo Laude</t>
  </si>
  <si>
    <t>EMP-0007_batch-0001</t>
  </si>
  <si>
    <t>EMP-0007</t>
  </si>
  <si>
    <t>John Harold Rugay</t>
  </si>
  <si>
    <t>EMP-0008_batch-0001</t>
  </si>
  <si>
    <t>EMP-0008</t>
  </si>
  <si>
    <t>Jonathan Italia</t>
  </si>
  <si>
    <t>Mapped</t>
  </si>
  <si>
    <t>EMP-0009_batch-0001</t>
  </si>
  <si>
    <t>EMP-0009</t>
  </si>
  <si>
    <t>Angielika Inso</t>
  </si>
  <si>
    <t>EMP-0010_batch-0002</t>
  </si>
  <si>
    <t>EMP-0010</t>
  </si>
  <si>
    <t>John Joseph Enriquez</t>
  </si>
  <si>
    <t>EMP-0011_batch-0003</t>
  </si>
  <si>
    <t>EMP-0011</t>
  </si>
  <si>
    <t>John Reinier Ambon</t>
  </si>
  <si>
    <t>batch-0003</t>
  </si>
  <si>
    <t>B0113_2025</t>
  </si>
  <si>
    <t>Configuration</t>
  </si>
  <si>
    <t>EMP-0012_batch-0004</t>
  </si>
  <si>
    <t>EMP-0012</t>
  </si>
  <si>
    <t>Don Patrick Pepito</t>
  </si>
  <si>
    <t>batch-0004</t>
  </si>
  <si>
    <t>B1209_2024</t>
  </si>
  <si>
    <t>EMP-0013_batch-0004</t>
  </si>
  <si>
    <t>EMP-0013</t>
  </si>
  <si>
    <t>John Albert Presentacion</t>
  </si>
  <si>
    <t>Resigned</t>
  </si>
  <si>
    <t>EMP-0014_batch-0003</t>
  </si>
  <si>
    <t>EMP-0014</t>
  </si>
  <si>
    <t>Rujen Calvin Malimban</t>
  </si>
  <si>
    <t>EMP-0015_batch-0003</t>
  </si>
  <si>
    <t>EMP-0015</t>
  </si>
  <si>
    <t>Shania Regine Calipay</t>
  </si>
  <si>
    <t>EMP-0016_batch-0003</t>
  </si>
  <si>
    <t>EMP-0016</t>
  </si>
  <si>
    <t>Louise Jake Tria</t>
  </si>
  <si>
    <t>EMP-0017_batch-0003</t>
  </si>
  <si>
    <t>EMP-0017</t>
  </si>
  <si>
    <t>Krizia Ysabel Carluen</t>
  </si>
  <si>
    <t>Manager</t>
  </si>
  <si>
    <t>EMP-0018_batch-0003</t>
  </si>
  <si>
    <t>EMP-0018</t>
  </si>
  <si>
    <t>Martin Ojeda</t>
  </si>
  <si>
    <t>OnBench</t>
  </si>
  <si>
    <t>EMP-0019_batch-0005</t>
  </si>
  <si>
    <t>EMP-0019</t>
  </si>
  <si>
    <t>John Paul Mamaril</t>
  </si>
  <si>
    <t>batch-0005</t>
  </si>
  <si>
    <t>B0303_2025</t>
  </si>
  <si>
    <t>Data</t>
  </si>
  <si>
    <t> </t>
  </si>
  <si>
    <t>EMP-0020_batch-0006</t>
  </si>
  <si>
    <t>EMP-0020</t>
  </si>
  <si>
    <t>Carl Villanueva</t>
  </si>
  <si>
    <t>batch-0006</t>
  </si>
  <si>
    <t>B0217_2025</t>
  </si>
  <si>
    <t>EMP-0021_batch-0006</t>
  </si>
  <si>
    <t>EMP-0021</t>
  </si>
  <si>
    <t>Jamin Aguilar</t>
  </si>
  <si>
    <t>EMP-0022_batch-0006</t>
  </si>
  <si>
    <t>EMP-0022</t>
  </si>
  <si>
    <t>Maricor Naz</t>
  </si>
  <si>
    <t>EMP-0023_batch-0006</t>
  </si>
  <si>
    <t>EMP-0023</t>
  </si>
  <si>
    <t>Alecxz Celis</t>
  </si>
  <si>
    <t>EMP-0024_batch-0006</t>
  </si>
  <si>
    <t>EMP-0024</t>
  </si>
  <si>
    <t>Karol Beso</t>
  </si>
  <si>
    <t>EMP-0025_batch-0006</t>
  </si>
  <si>
    <t>EMP-0025</t>
  </si>
  <si>
    <t>Junnel Palaña</t>
  </si>
  <si>
    <t>EMP-0026_batch-0007</t>
  </si>
  <si>
    <t>EMP-0026</t>
  </si>
  <si>
    <t>Neil Jonathan Trinidad</t>
  </si>
  <si>
    <t>batch-0007</t>
  </si>
  <si>
    <t>B0317_2025</t>
  </si>
  <si>
    <t>EMP-0027_batch-0007</t>
  </si>
  <si>
    <t>EMP-0027</t>
  </si>
  <si>
    <t>Erwin Purpora</t>
  </si>
  <si>
    <t>EMP-0028_batch-0007</t>
  </si>
  <si>
    <t>EMP-0028</t>
  </si>
  <si>
    <t>Christopher Dandan</t>
  </si>
  <si>
    <t>Integration</t>
  </si>
  <si>
    <t>EMP-0029_batch-0007</t>
  </si>
  <si>
    <t>EMP-0029</t>
  </si>
  <si>
    <t>Jayvee Geronimo</t>
  </si>
  <si>
    <t>EMP-0030_batch-0008</t>
  </si>
  <si>
    <t>EMP-0030</t>
  </si>
  <si>
    <t>Rey Mark Bautista</t>
  </si>
  <si>
    <t>batch-0008</t>
  </si>
  <si>
    <t>B0407_2025</t>
  </si>
  <si>
    <t>EMP-0031_batch-0008</t>
  </si>
  <si>
    <t>EMP-0031</t>
  </si>
  <si>
    <t>Julie Rose Rosales</t>
  </si>
  <si>
    <t>EMP-0032_batch-0007</t>
  </si>
  <si>
    <t>EMP-0032</t>
  </si>
  <si>
    <t>Vincent Carlo Santos</t>
  </si>
  <si>
    <t>EMP-0033_batch-0009</t>
  </si>
  <si>
    <t>EMP-0033</t>
  </si>
  <si>
    <t>Hazel Ribbons De Vera</t>
  </si>
  <si>
    <t>batch-0009</t>
  </si>
  <si>
    <t>B0428_2025</t>
  </si>
  <si>
    <t>Director</t>
  </si>
  <si>
    <t>EMP-0034_batch-0010</t>
  </si>
  <si>
    <t>EMP-0034</t>
  </si>
  <si>
    <t>Christian Benneth Soliven</t>
  </si>
  <si>
    <t>batch-0010</t>
  </si>
  <si>
    <t>B0505_2025</t>
  </si>
  <si>
    <t>EMP-0035_batch-0008</t>
  </si>
  <si>
    <t>EMP-0035</t>
  </si>
  <si>
    <t>Jehad Cemanes</t>
  </si>
  <si>
    <t>EMP-0036_batch-0008</t>
  </si>
  <si>
    <t>EMP-0036</t>
  </si>
  <si>
    <t>Ryo Delos Reyes</t>
  </si>
  <si>
    <t>EMP-0037_batch-0010</t>
  </si>
  <si>
    <t>EMP-0037</t>
  </si>
  <si>
    <t>Martin Briones</t>
  </si>
  <si>
    <t>EMP-0038_batch-0010</t>
  </si>
  <si>
    <t>EMP-0038</t>
  </si>
  <si>
    <t>Jack Kenneth Cutiongco</t>
  </si>
  <si>
    <t>EMP-0039_batch-0010</t>
  </si>
  <si>
    <t>EMP-0039</t>
  </si>
  <si>
    <t>Germark Andrei Par</t>
  </si>
  <si>
    <t>EMP-0040_batch-0010</t>
  </si>
  <si>
    <t>EMP-0040</t>
  </si>
  <si>
    <t>Dandy Collera</t>
  </si>
  <si>
    <t>EMP-0041_batch-0010</t>
  </si>
  <si>
    <t>EMP-0041</t>
  </si>
  <si>
    <t>Joyce Ann Mundo</t>
  </si>
  <si>
    <t>EMP-0042_batch-0011</t>
  </si>
  <si>
    <t>EMP-0042</t>
  </si>
  <si>
    <t>Sonny Millama</t>
  </si>
  <si>
    <t>batch-0011</t>
  </si>
  <si>
    <t>B0616_2025</t>
  </si>
  <si>
    <t>EMP-0043_batch-0011</t>
  </si>
  <si>
    <t>EMP-0043</t>
  </si>
  <si>
    <t>Jikho Enrique</t>
  </si>
  <si>
    <t>EMP-0044_batch-0012</t>
  </si>
  <si>
    <t>EMP-0044</t>
  </si>
  <si>
    <t>Winhowell Ibarra</t>
  </si>
  <si>
    <t>batch-0012</t>
  </si>
  <si>
    <t>EMP-0045_batch-0011</t>
  </si>
  <si>
    <t>EMP-0045</t>
  </si>
  <si>
    <t>Mark Hanniel Vargas</t>
  </si>
  <si>
    <t>EMP-0046_batch-0011</t>
  </si>
  <si>
    <t>EMP-0046</t>
  </si>
  <si>
    <t>Darwin James Marcelo</t>
  </si>
  <si>
    <t>EMP-0047_batch-0011</t>
  </si>
  <si>
    <t>EMP-0047</t>
  </si>
  <si>
    <t>Christian Haber</t>
  </si>
  <si>
    <t>Digital Portal</t>
  </si>
  <si>
    <t>EMP-0048_batch-0013</t>
  </si>
  <si>
    <t>EMP-0048</t>
  </si>
  <si>
    <t>Grace Evangelista</t>
  </si>
  <si>
    <t>batch-0013</t>
  </si>
  <si>
    <t>B0707_2025</t>
  </si>
  <si>
    <t>EMP-0049_batch-0013</t>
  </si>
  <si>
    <t>EMP-0049</t>
  </si>
  <si>
    <t>Romeo Dancil</t>
  </si>
  <si>
    <t>EMP-0050_batch-0013</t>
  </si>
  <si>
    <t>EMP-0050</t>
  </si>
  <si>
    <t>Carlo Gutierrez</t>
  </si>
  <si>
    <t>EMP-0051_batch-0014</t>
  </si>
  <si>
    <t>EMP-0051</t>
  </si>
  <si>
    <t>Eigel Asinas</t>
  </si>
  <si>
    <t>batch-0014</t>
  </si>
  <si>
    <t>B0804_2025</t>
  </si>
  <si>
    <t>EMP-0052_batch-0013</t>
  </si>
  <si>
    <t>EMP-0052</t>
  </si>
  <si>
    <t>Shalemar Marie Gloria Bagasina</t>
  </si>
  <si>
    <t>EMP-0053_batch-0014</t>
  </si>
  <si>
    <t>EMP-0053</t>
  </si>
  <si>
    <t>Lorraine Fajutagana</t>
  </si>
  <si>
    <t>Senior Manager</t>
  </si>
  <si>
    <t>EMP-0054_batch-0015</t>
  </si>
  <si>
    <t>EMP-0054</t>
  </si>
  <si>
    <t>Ronelle Tuazon</t>
  </si>
  <si>
    <t>batch-0015</t>
  </si>
  <si>
    <t>B0901_2025</t>
  </si>
  <si>
    <t>EMP-0055_batch-0015</t>
  </si>
  <si>
    <t>EMP-0055</t>
  </si>
  <si>
    <t>Davidson De Ocampo</t>
  </si>
  <si>
    <t>EMP-0056_batch-0015</t>
  </si>
  <si>
    <t>EMP-0056</t>
  </si>
  <si>
    <t>Ryan Catambing</t>
  </si>
  <si>
    <t>EMP-0057_batch-0015</t>
  </si>
  <si>
    <t>EMP-0057</t>
  </si>
  <si>
    <t>Jasper Vergara Reyes</t>
  </si>
  <si>
    <t>EMP-0058_batch-0016</t>
  </si>
  <si>
    <t>EMP-0058</t>
  </si>
  <si>
    <t>Evander Ramos Villanueva</t>
  </si>
  <si>
    <t>batch-0016</t>
  </si>
  <si>
    <t>B1006_2025</t>
  </si>
  <si>
    <t>EMP-0059_batch-0016</t>
  </si>
  <si>
    <t>EMP-0059</t>
  </si>
  <si>
    <t>Riel Ocampo Mendoza</t>
  </si>
  <si>
    <t>EMP-0060_batch-0016</t>
  </si>
  <si>
    <t>EMP-0060</t>
  </si>
  <si>
    <t>Mariah Sidney Bellaflor</t>
  </si>
  <si>
    <t>EMP-0061_batch-0017</t>
  </si>
  <si>
    <t>EMP-0061</t>
  </si>
  <si>
    <t>Debby Gregorio-David</t>
  </si>
  <si>
    <t>batch-0017</t>
  </si>
  <si>
    <t>B1201_2025</t>
  </si>
  <si>
    <t>EMP-0062_batch-0016</t>
  </si>
  <si>
    <t>EMP-0062</t>
  </si>
  <si>
    <t>Arjay Aquino</t>
  </si>
  <si>
    <t>EMP-0063_batch-0018</t>
  </si>
  <si>
    <t>EMP-0063</t>
  </si>
  <si>
    <t>Francis Miguel Iguico</t>
  </si>
  <si>
    <t>batch-0018</t>
  </si>
  <si>
    <t>B1103_2025</t>
  </si>
  <si>
    <t>EMP-0064_batch-0018</t>
  </si>
  <si>
    <t>EMP-0064</t>
  </si>
  <si>
    <t>Kien Villegas</t>
  </si>
  <si>
    <t>EMP-0065_batch-0017</t>
  </si>
  <si>
    <t>EMP-0065</t>
  </si>
  <si>
    <t>Ace Encinas</t>
  </si>
  <si>
    <t>EMP-0066_batch-0018</t>
  </si>
  <si>
    <t>EMP-0066</t>
  </si>
  <si>
    <t>Rhomna Ryza Velasquez</t>
  </si>
  <si>
    <t>EMP-0067_batch-0018</t>
  </si>
  <si>
    <t>EMP-0067</t>
  </si>
  <si>
    <t>Loridge Anne Alcid Gacho</t>
  </si>
  <si>
    <t>EMP-0068_batch-0018</t>
  </si>
  <si>
    <t>EMP-0068</t>
  </si>
  <si>
    <t>Tina Provido</t>
  </si>
  <si>
    <t>EMP-0069_batch-0019</t>
  </si>
  <si>
    <t>EMP-0069</t>
  </si>
  <si>
    <t>Sebastian Audrey Temporal</t>
  </si>
  <si>
    <t>batch-0019</t>
  </si>
  <si>
    <t>B1117_2025</t>
  </si>
  <si>
    <t>EMP-0070_batch-0020</t>
  </si>
  <si>
    <t>EMP-0070</t>
  </si>
  <si>
    <t>Roy Encela</t>
  </si>
  <si>
    <t>batch-0020</t>
  </si>
  <si>
    <t>B1209_2025</t>
  </si>
  <si>
    <t>EMP-0071_batch-0021</t>
  </si>
  <si>
    <t>EMP-0071</t>
  </si>
  <si>
    <t>Michael Christian Castro</t>
  </si>
  <si>
    <t>batch-0021</t>
  </si>
  <si>
    <t>B0622_2026</t>
  </si>
  <si>
    <t>EMP-0072_batch-0021</t>
  </si>
  <si>
    <t>EMP-0072</t>
  </si>
  <si>
    <t>Kristine Mae Garcia</t>
  </si>
  <si>
    <t>OnTraining</t>
  </si>
  <si>
    <t>EMP-0073_batch-0022</t>
  </si>
  <si>
    <t>EMP-0073</t>
  </si>
  <si>
    <t>Rose Mae Pusancho</t>
  </si>
  <si>
    <t>batch-0022</t>
  </si>
  <si>
    <t>B0706_2026</t>
  </si>
  <si>
    <t>EMP-0074_batch-0022</t>
  </si>
  <si>
    <t>EMP-0074</t>
  </si>
  <si>
    <t>CK Luna</t>
  </si>
  <si>
    <t>EMP-0075_batch-0022</t>
  </si>
  <si>
    <t>EMP-0075</t>
  </si>
  <si>
    <t>Ivan Rey Amper</t>
  </si>
  <si>
    <t>EMP-0076_batch-0022</t>
  </si>
  <si>
    <t>EMP-0076</t>
  </si>
  <si>
    <t>Harley Tesorero</t>
  </si>
  <si>
    <t>EMP-0077_batch-0023</t>
  </si>
  <si>
    <t>EMP-0077</t>
  </si>
  <si>
    <t>Ann Tulaña</t>
  </si>
  <si>
    <t>batch-0023</t>
  </si>
  <si>
    <t>B0720_2026</t>
  </si>
  <si>
    <t>EMP-0078_batch-0023</t>
  </si>
  <si>
    <t>EMP-0078</t>
  </si>
  <si>
    <t>Clark Aurve Fernandez</t>
  </si>
  <si>
    <t>Exp Associate</t>
  </si>
  <si>
    <t>EMP-0079_batch-0023</t>
  </si>
  <si>
    <t>EMP-0079</t>
  </si>
  <si>
    <t>Khent David Roscoe Alba</t>
  </si>
  <si>
    <t>EMP-0080_batch-0023</t>
  </si>
  <si>
    <t>EMP-0080</t>
  </si>
  <si>
    <t>Ivaniel Salen</t>
  </si>
  <si>
    <t>EMP-0081_batch-0024</t>
  </si>
  <si>
    <t>EMP-0081</t>
  </si>
  <si>
    <t>Karl Marvin Violanda</t>
  </si>
  <si>
    <t>batch-0024</t>
  </si>
  <si>
    <t>B0803_2026</t>
  </si>
  <si>
    <t>EMP-0082_batch-0023</t>
  </si>
  <si>
    <t>EMP-0082</t>
  </si>
  <si>
    <t>Kenneth Olano</t>
  </si>
  <si>
    <t>EMP-0083_batch-0024</t>
  </si>
  <si>
    <t>EMP-0083</t>
  </si>
  <si>
    <t>Nannie Unida</t>
  </si>
  <si>
    <t>EMP-0084_batch-0024</t>
  </si>
  <si>
    <t>EMP-0084</t>
  </si>
  <si>
    <t>Jhon Rey Artuz</t>
  </si>
  <si>
    <t>EMP-0085_batch-0024</t>
  </si>
  <si>
    <t>EMP-0085</t>
  </si>
  <si>
    <t>Jherson Dignadice</t>
  </si>
  <si>
    <t>EMP-0086_batch-0024</t>
  </si>
  <si>
    <t>EMP-0086</t>
  </si>
  <si>
    <t>Daniel Angelo Ang</t>
  </si>
  <si>
    <t>EMP-0087_batch-0025</t>
  </si>
  <si>
    <t>EMP-0087</t>
  </si>
  <si>
    <t>Jamie Dianne Dimaano</t>
  </si>
  <si>
    <t>batch-0025</t>
  </si>
  <si>
    <t>B0817_2026</t>
  </si>
  <si>
    <t>Incoming</t>
  </si>
  <si>
    <t>EMP-0088_batch-0025</t>
  </si>
  <si>
    <t>EMP-0088</t>
  </si>
  <si>
    <t>Raf Bradey Matoza</t>
  </si>
  <si>
    <t>EMP-0089_batch-0025</t>
  </si>
  <si>
    <t>EMP-0089</t>
  </si>
  <si>
    <t>Emmanuel Irgil Revista</t>
  </si>
  <si>
    <t>EMP-0090_batch-0026</t>
  </si>
  <si>
    <t>EMP-0090</t>
  </si>
  <si>
    <t>bryan.bagtas@pwc.com</t>
  </si>
  <si>
    <t>batch-0026</t>
  </si>
  <si>
    <t>B0907_2026</t>
  </si>
  <si>
    <t>WorkdayID</t>
  </si>
  <si>
    <t>FullName</t>
  </si>
  <si>
    <t>Capability</t>
  </si>
  <si>
    <t>Client</t>
  </si>
  <si>
    <t>DateOrigin</t>
  </si>
  <si>
    <t>StartDate</t>
  </si>
  <si>
    <t>EndDate</t>
  </si>
  <si>
    <t>Status</t>
  </si>
  <si>
    <t>Type</t>
  </si>
  <si>
    <t>NumOfDeployment</t>
  </si>
  <si>
    <t>DaysToFirstDeployment</t>
  </si>
  <si>
    <t>Encova</t>
  </si>
  <si>
    <t>Ended</t>
  </si>
  <si>
    <t>Billable</t>
  </si>
  <si>
    <t>PMA</t>
  </si>
  <si>
    <t>Active</t>
  </si>
  <si>
    <t>N/A</t>
  </si>
  <si>
    <t>Amerisure</t>
  </si>
  <si>
    <t>Frankenmuth</t>
  </si>
  <si>
    <t>Agentic AI</t>
  </si>
  <si>
    <t>Liberty Mutual</t>
  </si>
  <si>
    <t>PMIC</t>
  </si>
  <si>
    <t>Aviva UK</t>
  </si>
  <si>
    <t>Farmer's</t>
  </si>
  <si>
    <t>Shadowing</t>
  </si>
  <si>
    <t>CIG</t>
  </si>
  <si>
    <t>USAIG</t>
  </si>
  <si>
    <t>OR Surety</t>
  </si>
  <si>
    <t>ANIC</t>
  </si>
  <si>
    <t>Aviva Taurus</t>
  </si>
  <si>
    <t>John Mamaril</t>
  </si>
  <si>
    <t>WNI</t>
  </si>
  <si>
    <t>Junnel Palana</t>
  </si>
  <si>
    <t>SFB</t>
  </si>
  <si>
    <t>MSIG</t>
  </si>
  <si>
    <t>NCFB</t>
  </si>
  <si>
    <t>IFS</t>
  </si>
  <si>
    <t>NICO</t>
  </si>
  <si>
    <t>FBL</t>
  </si>
  <si>
    <t>AMOD</t>
  </si>
  <si>
    <t>MOTER</t>
  </si>
  <si>
    <t>TBD</t>
  </si>
  <si>
    <t>PAL</t>
  </si>
  <si>
    <t>Lift &amp; Shift</t>
  </si>
  <si>
    <t>Weav AI</t>
  </si>
  <si>
    <t>Reinvest</t>
  </si>
  <si>
    <t>GAIC</t>
  </si>
  <si>
    <t>TrainingEndDate</t>
  </si>
  <si>
    <t>Joeban Manguerra</t>
  </si>
  <si>
    <t>John Joseph</t>
  </si>
  <si>
    <t>John Rainier Ambon</t>
  </si>
  <si>
    <t>Employee_Batch_ID</t>
  </si>
  <si>
    <t>First Project_Name</t>
  </si>
  <si>
    <t>First Project_EndDate</t>
  </si>
  <si>
    <t>Standby_Reason</t>
  </si>
  <si>
    <t>Notes</t>
  </si>
  <si>
    <t>Source excel (Training Plan)</t>
  </si>
  <si>
    <t>Assignee</t>
  </si>
  <si>
    <t>EMP-0001-GW-20241202</t>
  </si>
  <si>
    <t>Enriquez, John Joseph</t>
  </si>
  <si>
    <t>GW-20241202</t>
  </si>
  <si>
    <t>Guidewire Onboarding - 02 Dec 2024</t>
  </si>
  <si>
    <t>GW QA</t>
  </si>
  <si>
    <t>EMP-0002-GW-20241202</t>
  </si>
  <si>
    <t>Gujol, Tiffany Aethyl</t>
  </si>
  <si>
    <t>EMP-0009-GW-20241202</t>
  </si>
  <si>
    <t>Rojo, Jennedie</t>
  </si>
  <si>
    <t>EMP-0007-GW-20241209</t>
  </si>
  <si>
    <t>Pepito, Don Patrick</t>
  </si>
  <si>
    <t>GW-20241209</t>
  </si>
  <si>
    <t>Guidewire Onboarding - 09 Dec 2024</t>
  </si>
  <si>
    <t>Guidewire Configuration Developer</t>
  </si>
  <si>
    <t>Manila</t>
  </si>
  <si>
    <t>EMP-0008-GW-20241209</t>
  </si>
  <si>
    <t>Presentacion, John albert</t>
  </si>
  <si>
    <t>EMP-0003-GW-20250113</t>
  </si>
  <si>
    <t>GW-20250113</t>
  </si>
  <si>
    <t>Guidewire Onboarding - 13 Jan 2025</t>
  </si>
  <si>
    <t>EMP-0004-GW-20250113</t>
  </si>
  <si>
    <t>EMP-0005-GW-20250113</t>
  </si>
  <si>
    <t>Louise Tria</t>
  </si>
  <si>
    <t>EMP-0006-GW-20250113</t>
  </si>
  <si>
    <t>EMP-0010-GW-20250113</t>
  </si>
  <si>
    <t>EMP-0011-GW-20250113</t>
  </si>
  <si>
    <t>Win</t>
  </si>
  <si>
    <t>VJ</t>
  </si>
  <si>
    <t>Rakesh Kumar Sinha</t>
  </si>
  <si>
    <t>Gopakumar Kondayin</t>
  </si>
  <si>
    <t>Project_Record_ID</t>
  </si>
  <si>
    <t>Project_Sequence</t>
  </si>
  <si>
    <t>Project_Name</t>
  </si>
  <si>
    <t>Project_Role</t>
  </si>
  <si>
    <t>Project_Start_Date</t>
  </si>
  <si>
    <t>Project_End_Date</t>
  </si>
  <si>
    <t>Project_Status</t>
  </si>
  <si>
    <t>Record_As_Of_Date</t>
  </si>
  <si>
    <t>EMP-0001-GW-20241202-P01</t>
  </si>
  <si>
    <t>Deployment_Status</t>
  </si>
  <si>
    <t>Not Ready</t>
  </si>
  <si>
    <t>No Project Demand</t>
  </si>
  <si>
    <t>Ready / Standby</t>
  </si>
  <si>
    <t>Skill / Role Mismatch</t>
  </si>
  <si>
    <t>Client Interview Pending</t>
  </si>
  <si>
    <t>On Hold</t>
  </si>
  <si>
    <t>Project Start Deferred</t>
  </si>
  <si>
    <t>Location / Mobility Constraint</t>
  </si>
  <si>
    <t>Staffing Process</t>
  </si>
  <si>
    <t>Other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</si>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</sst>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yyyy\-mm\-dd;@"/>
  </numFmts>
  <fonts count="1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00FF"/>
      <name val="Calibri"/>
    </font>
    <font>
      <sz val="11"/>
      <color rgb="FF008000"/>
      <name val="Calibri"/>
    </font>
    <font>
      <b/>
      <sz val="18"/>
      <color rgb="FFFFFFFF"/>
      <name val="Calibri"/>
    </font>
    <font>
      <b/>
      <sz val="11"/>
      <color rgb="FF2D2D2D"/>
      <name val="Calibri"/>
    </font>
    <font>
      <b/>
      <sz val="14"/>
      <color rgb="FFD04A02"/>
      <name val="Calibri"/>
    </font>
    <font>
      <sz val="10"/>
      <color rgb="FF000000"/>
      <name val="Calibri"/>
      <scheme val="minor"/>
    </font>
    <font>
      <sz val="10"/>
      <name val="Calibri"/>
      <scheme val="minor"/>
    </font>
    <font>
      <sz val="10"/>
      <color rgb="FF000000"/>
      <name val="Calibri"/>
    </font>
    <font>
      <sz val="10"/>
      <color rgb="FF000000"/>
      <name val="Calibri"/>
      <family val="2"/>
    </font>
    <font>
      <sz val="10"/>
      <name val="Calibri"/>
      <family val="2"/>
    </font>
    <font>
      <sz val="11"/>
      <name val="Aptos Narrow"/>
      <family val="2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</font>
    <font>
      <sz val="10"/>
      <name val="Calibri"/>
    </font>
    <font>
      <sz val="10"/>
      <color theme="3"/>
      <name val="Calibri"/>
    </font>
    <font>
      <sz val="10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D2D2D"/>
      </patternFill>
    </fill>
    <fill>
      <patternFill patternType="solid">
        <fgColor rgb="FFF3F8FD"/>
      </patternFill>
    </fill>
    <fill>
      <patternFill patternType="solid">
        <fgColor rgb="FFD04A02"/>
      </patternFill>
    </fill>
    <fill>
      <patternFill patternType="solid">
        <fgColor rgb="FFFDE9D9"/>
      </patternFill>
    </fill>
    <fill>
      <patternFill patternType="solid">
        <fgColor rgb="FF2D2D2D"/>
        <bgColor rgb="FF000000"/>
      </patternFill>
    </fill>
    <fill>
      <patternFill patternType="solid">
        <fgColor indexed="65"/>
        <bgColor rgb="FFDDEBF7"/>
      </patternFill>
    </fill>
    <fill>
      <patternFill patternType="solid">
        <fgColor rgb="FFFFFF00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CAEDFB"/>
        <bgColor rgb="FF000000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rgb="FF61CBF3"/>
      </bottom>
      <diagonal/>
    </border>
    <border>
      <left/>
      <right/>
      <top style="thin">
        <color rgb="FF61CBF3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61CBF3"/>
      </bottom>
      <diagonal/>
    </border>
    <border>
      <left style="thin">
        <color rgb="FF000000"/>
      </left>
      <right/>
      <top style="thin">
        <color rgb="FF000000"/>
      </top>
      <bottom style="thin">
        <color rgb="FF61CBF3"/>
      </bottom>
      <diagonal/>
    </border>
    <border>
      <left style="thin">
        <color rgb="FF61CBF3"/>
      </left>
      <right/>
      <top style="thin">
        <color rgb="FF61CBF3"/>
      </top>
      <bottom style="thin">
        <color rgb="FF61CBF3"/>
      </bottom>
      <diagonal/>
    </border>
    <border>
      <left style="thin">
        <color rgb="FF000000"/>
      </left>
      <right style="thin">
        <color rgb="FF000000"/>
      </right>
      <top style="thin">
        <color rgb="FF61CBF3"/>
      </top>
      <bottom style="thin">
        <color rgb="FF000000"/>
      </bottom>
      <diagonal/>
    </border>
    <border>
      <left/>
      <right/>
      <top style="thin">
        <color rgb="FF61CBF3"/>
      </top>
      <bottom style="thin">
        <color rgb="FF61CBF3"/>
      </bottom>
      <diagonal/>
    </border>
    <border>
      <left/>
      <right style="thin">
        <color rgb="FF000000"/>
      </right>
      <top style="thin">
        <color rgb="FF000000"/>
      </top>
      <bottom style="thin">
        <color rgb="FF61CBF3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61CBF3"/>
      </bottom>
      <diagonal/>
    </border>
    <border>
      <left style="thin">
        <color rgb="FF44B3E1"/>
      </left>
      <right/>
      <top style="thin">
        <color rgb="FF000000"/>
      </top>
      <bottom style="thin">
        <color rgb="FF44B3E1"/>
      </bottom>
      <diagonal/>
    </border>
    <border>
      <left style="thin">
        <color rgb="FF000000"/>
      </left>
      <right/>
      <top style="thin">
        <color rgb="FF000000"/>
      </top>
      <bottom style="thin">
        <color rgb="FF44B3E1"/>
      </bottom>
      <diagonal/>
    </border>
    <border>
      <left style="thin">
        <color rgb="FF44B3E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4B3E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6" fillId="5" borderId="0" xfId="0" applyFont="1" applyFill="1"/>
    <xf numFmtId="0" fontId="7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4" fontId="3" fillId="3" borderId="0" xfId="0" applyNumberFormat="1" applyFont="1" applyFill="1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1" xfId="0" applyFont="1" applyBorder="1"/>
    <xf numFmtId="0" fontId="9" fillId="0" borderId="0" xfId="0" applyFont="1"/>
    <xf numFmtId="0" fontId="1" fillId="6" borderId="3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7" borderId="0" xfId="0" applyFont="1" applyFill="1" applyAlignment="1">
      <alignment wrapText="1"/>
    </xf>
    <xf numFmtId="0" fontId="10" fillId="0" borderId="0" xfId="0" applyFont="1"/>
    <xf numFmtId="0" fontId="10" fillId="0" borderId="1" xfId="0" applyFont="1" applyBorder="1"/>
    <xf numFmtId="0" fontId="11" fillId="0" borderId="4" xfId="0" applyFont="1" applyBorder="1"/>
    <xf numFmtId="0" fontId="11" fillId="0" borderId="4" xfId="0" applyFont="1" applyBorder="1" applyAlignment="1">
      <alignment wrapText="1"/>
    </xf>
    <xf numFmtId="0" fontId="10" fillId="0" borderId="4" xfId="0" applyFont="1" applyBorder="1"/>
    <xf numFmtId="0" fontId="11" fillId="8" borderId="4" xfId="0" applyFont="1" applyFill="1" applyBorder="1"/>
    <xf numFmtId="0" fontId="11" fillId="0" borderId="5" xfId="0" applyFont="1" applyBorder="1"/>
    <xf numFmtId="0" fontId="11" fillId="0" borderId="6" xfId="0" applyFont="1" applyBorder="1"/>
    <xf numFmtId="0" fontId="10" fillId="0" borderId="5" xfId="0" applyFont="1" applyBorder="1"/>
    <xf numFmtId="0" fontId="12" fillId="0" borderId="4" xfId="0" applyFont="1" applyBorder="1"/>
    <xf numFmtId="0" fontId="11" fillId="0" borderId="8" xfId="0" applyFont="1" applyBorder="1"/>
    <xf numFmtId="0" fontId="11" fillId="0" borderId="10" xfId="0" applyFont="1" applyBorder="1"/>
    <xf numFmtId="0" fontId="13" fillId="0" borderId="9" xfId="0" applyFont="1" applyBorder="1"/>
    <xf numFmtId="14" fontId="11" fillId="0" borderId="4" xfId="0" applyNumberFormat="1" applyFont="1" applyBorder="1"/>
    <xf numFmtId="14" fontId="10" fillId="0" borderId="4" xfId="0" applyNumberFormat="1" applyFont="1" applyBorder="1"/>
    <xf numFmtId="14" fontId="11" fillId="0" borderId="5" xfId="0" applyNumberFormat="1" applyFont="1" applyBorder="1"/>
    <xf numFmtId="14" fontId="10" fillId="0" borderId="5" xfId="0" applyNumberFormat="1" applyFont="1" applyBorder="1"/>
    <xf numFmtId="0" fontId="11" fillId="0" borderId="11" xfId="0" applyFont="1" applyBorder="1"/>
    <xf numFmtId="0" fontId="11" fillId="0" borderId="12" xfId="0" applyFont="1" applyBorder="1"/>
    <xf numFmtId="0" fontId="11" fillId="0" borderId="13" xfId="0" applyFont="1" applyBorder="1"/>
    <xf numFmtId="0" fontId="11" fillId="0" borderId="7" xfId="0" applyFont="1" applyBorder="1"/>
    <xf numFmtId="0" fontId="11" fillId="8" borderId="5" xfId="0" applyFont="1" applyFill="1" applyBorder="1"/>
    <xf numFmtId="0" fontId="12" fillId="0" borderId="10" xfId="0" applyFont="1" applyBorder="1"/>
    <xf numFmtId="0" fontId="12" fillId="0" borderId="9" xfId="0" applyFont="1" applyBorder="1"/>
    <xf numFmtId="0" fontId="11" fillId="9" borderId="14" xfId="0" applyFont="1" applyFill="1" applyBorder="1"/>
    <xf numFmtId="0" fontId="11" fillId="0" borderId="14" xfId="0" applyFont="1" applyBorder="1"/>
    <xf numFmtId="0" fontId="11" fillId="9" borderId="15" xfId="0" applyFont="1" applyFill="1" applyBorder="1"/>
    <xf numFmtId="0" fontId="11" fillId="0" borderId="15" xfId="0" applyFont="1" applyBorder="1"/>
    <xf numFmtId="0" fontId="11" fillId="0" borderId="14" xfId="0" applyFont="1" applyBorder="1" applyAlignment="1">
      <alignment wrapText="1"/>
    </xf>
    <xf numFmtId="0" fontId="11" fillId="8" borderId="14" xfId="0" applyFont="1" applyFill="1" applyBorder="1"/>
    <xf numFmtId="0" fontId="11" fillId="0" borderId="16" xfId="0" applyFont="1" applyBorder="1"/>
    <xf numFmtId="0" fontId="11" fillId="9" borderId="16" xfId="0" applyFont="1" applyFill="1" applyBorder="1"/>
    <xf numFmtId="0" fontId="14" fillId="0" borderId="15" xfId="0" applyFont="1" applyBorder="1"/>
    <xf numFmtId="0" fontId="11" fillId="9" borderId="12" xfId="0" applyFont="1" applyFill="1" applyBorder="1"/>
    <xf numFmtId="14" fontId="11" fillId="9" borderId="15" xfId="0" applyNumberFormat="1" applyFont="1" applyFill="1" applyBorder="1"/>
    <xf numFmtId="14" fontId="11" fillId="0" borderId="15" xfId="0" applyNumberFormat="1" applyFont="1" applyBorder="1"/>
    <xf numFmtId="14" fontId="11" fillId="0" borderId="12" xfId="0" applyNumberFormat="1" applyFont="1" applyBorder="1"/>
    <xf numFmtId="0" fontId="11" fillId="0" borderId="17" xfId="0" applyFont="1" applyBorder="1"/>
    <xf numFmtId="14" fontId="11" fillId="0" borderId="17" xfId="0" applyNumberFormat="1" applyFont="1" applyBorder="1"/>
    <xf numFmtId="0" fontId="11" fillId="9" borderId="17" xfId="0" applyFont="1" applyFill="1" applyBorder="1"/>
    <xf numFmtId="14" fontId="11" fillId="9" borderId="17" xfId="0" applyNumberFormat="1" applyFont="1" applyFill="1" applyBorder="1"/>
    <xf numFmtId="0" fontId="11" fillId="9" borderId="4" xfId="0" applyFont="1" applyFill="1" applyBorder="1"/>
    <xf numFmtId="14" fontId="11" fillId="9" borderId="4" xfId="0" applyNumberFormat="1" applyFont="1" applyFill="1" applyBorder="1"/>
    <xf numFmtId="0" fontId="15" fillId="10" borderId="14" xfId="0" applyFont="1" applyFill="1" applyBorder="1"/>
    <xf numFmtId="0" fontId="15" fillId="10" borderId="15" xfId="0" applyFont="1" applyFill="1" applyBorder="1"/>
    <xf numFmtId="0" fontId="15" fillId="10" borderId="17" xfId="0" applyFont="1" applyFill="1" applyBorder="1"/>
    <xf numFmtId="14" fontId="14" fillId="0" borderId="15" xfId="0" applyNumberFormat="1" applyFont="1" applyBorder="1"/>
    <xf numFmtId="0" fontId="10" fillId="9" borderId="15" xfId="0" applyFont="1" applyFill="1" applyBorder="1"/>
    <xf numFmtId="0" fontId="10" fillId="9" borderId="17" xfId="0" applyFont="1" applyFill="1" applyBorder="1"/>
    <xf numFmtId="0" fontId="10" fillId="0" borderId="15" xfId="0" applyFont="1" applyBorder="1"/>
    <xf numFmtId="0" fontId="10" fillId="0" borderId="17" xfId="0" applyFont="1" applyBorder="1"/>
    <xf numFmtId="0" fontId="11" fillId="0" borderId="18" xfId="0" applyFont="1" applyBorder="1"/>
    <xf numFmtId="0" fontId="11" fillId="0" borderId="19" xfId="0" applyFont="1" applyBorder="1"/>
    <xf numFmtId="0" fontId="11" fillId="0" borderId="20" xfId="0" applyFont="1" applyBorder="1"/>
    <xf numFmtId="0" fontId="11" fillId="0" borderId="21" xfId="0" applyFont="1" applyBorder="1"/>
    <xf numFmtId="0" fontId="11" fillId="0" borderId="22" xfId="0" applyFont="1" applyBorder="1"/>
    <xf numFmtId="0" fontId="10" fillId="0" borderId="4" xfId="0" applyFont="1" applyBorder="1" applyAlignment="1">
      <alignment horizontal="left" vertical="top"/>
    </xf>
    <xf numFmtId="49" fontId="10" fillId="0" borderId="4" xfId="0" applyNumberFormat="1" applyFont="1" applyBorder="1" applyAlignment="1">
      <alignment horizontal="left" vertical="top"/>
    </xf>
    <xf numFmtId="0" fontId="16" fillId="0" borderId="4" xfId="0" applyFont="1" applyBorder="1"/>
    <xf numFmtId="165" fontId="17" fillId="11" borderId="23" xfId="0" applyNumberFormat="1" applyFont="1" applyFill="1" applyBorder="1" applyAlignment="1">
      <alignment horizontal="left" vertical="top"/>
    </xf>
    <xf numFmtId="165" fontId="10" fillId="0" borderId="4" xfId="0" applyNumberFormat="1" applyFont="1" applyBorder="1" applyAlignment="1">
      <alignment horizontal="left" vertical="top"/>
    </xf>
    <xf numFmtId="165" fontId="10" fillId="0" borderId="23" xfId="0" applyNumberFormat="1" applyFont="1" applyBorder="1" applyAlignment="1">
      <alignment horizontal="left" vertical="top"/>
    </xf>
    <xf numFmtId="165" fontId="0" fillId="0" borderId="4" xfId="0" applyNumberFormat="1" applyBorder="1" applyAlignment="1">
      <alignment horizontal="left" vertical="top"/>
    </xf>
    <xf numFmtId="49" fontId="17" fillId="11" borderId="23" xfId="0" applyNumberFormat="1" applyFont="1" applyFill="1" applyBorder="1" applyAlignment="1">
      <alignment horizontal="left" vertical="top"/>
    </xf>
    <xf numFmtId="0" fontId="10" fillId="0" borderId="23" xfId="0" applyFont="1" applyBorder="1" applyAlignment="1">
      <alignment horizontal="left" vertical="top"/>
    </xf>
    <xf numFmtId="0" fontId="10" fillId="0" borderId="22" xfId="0" applyFont="1" applyBorder="1" applyAlignment="1">
      <alignment horizontal="left" vertical="top"/>
    </xf>
    <xf numFmtId="0" fontId="16" fillId="0" borderId="23" xfId="0" applyFont="1" applyBorder="1"/>
    <xf numFmtId="0" fontId="10" fillId="0" borderId="24" xfId="0" applyFont="1" applyBorder="1" applyAlignment="1">
      <alignment horizontal="left" vertical="top"/>
    </xf>
    <xf numFmtId="49" fontId="0" fillId="0" borderId="4" xfId="0" applyNumberForma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1" fillId="0" borderId="9" xfId="0" applyFont="1" applyBorder="1"/>
    <xf numFmtId="0" fontId="12" fillId="0" borderId="8" xfId="0" applyFont="1" applyBorder="1"/>
    <xf numFmtId="0" fontId="13" fillId="0" borderId="4" xfId="0" applyFont="1" applyBorder="1"/>
    <xf numFmtId="0" fontId="0" fillId="0" borderId="23" xfId="0" applyBorder="1"/>
    <xf numFmtId="165" fontId="10" fillId="0" borderId="0" xfId="0" applyNumberFormat="1" applyFont="1" applyAlignment="1">
      <alignment horizontal="left" vertical="top"/>
    </xf>
    <xf numFmtId="0" fontId="0" fillId="0" borderId="4" xfId="0" applyBorder="1"/>
    <xf numFmtId="165" fontId="18" fillId="0" borderId="4" xfId="0" applyNumberFormat="1" applyFont="1" applyBorder="1" applyAlignment="1">
      <alignment horizontal="left" vertical="top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vertical="top" wrapText="1"/>
    </xf>
    <xf numFmtId="0" fontId="5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71</xdr:row>
      <xdr:rowOff>0</xdr:rowOff>
    </xdr:from>
    <xdr:to>
      <xdr:col>3</xdr:col>
      <xdr:colOff>304800</xdr:colOff>
      <xdr:row>72</xdr:row>
      <xdr:rowOff>123825</xdr:rowOff>
    </xdr:to>
    <xdr:sp macro="" textlink="">
      <xdr:nvSpPr>
        <xdr:cNvPr id="2" name="AutoShape 7" descr="Generated image">
          <a:extLst>
            <a:ext uri="{FF2B5EF4-FFF2-40B4-BE49-F238E27FC236}">
              <a16:creationId xmlns:a16="http://schemas.microsoft.com/office/drawing/2014/main" id="{3E2A9CF7-0C28-4D54-A0DB-6CB6A69D6BA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4724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71</xdr:row>
      <xdr:rowOff>0</xdr:rowOff>
    </xdr:from>
    <xdr:to>
      <xdr:col>3</xdr:col>
      <xdr:colOff>304800</xdr:colOff>
      <xdr:row>72</xdr:row>
      <xdr:rowOff>123825</xdr:rowOff>
    </xdr:to>
    <xdr:sp macro="" textlink="">
      <xdr:nvSpPr>
        <xdr:cNvPr id="3" name="AutoShape 8" descr="Generated image">
          <a:extLst>
            <a:ext uri="{FF2B5EF4-FFF2-40B4-BE49-F238E27FC236}">
              <a16:creationId xmlns:a16="http://schemas.microsoft.com/office/drawing/2014/main" id="{24516B69-47D2-400D-A3CF-60427B0D127B}"/>
            </a:ext>
            <a:ext uri="{147F2762-F138-4A5C-976F-8EAC2B608ADB}">
              <a16:predDERef xmlns:a16="http://schemas.microsoft.com/office/drawing/2014/main" pred="{3E2A9CF7-0C28-4D54-A0DB-6CB6A69D6BA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4724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67</xdr:row>
      <xdr:rowOff>0</xdr:rowOff>
    </xdr:from>
    <xdr:to>
      <xdr:col>3</xdr:col>
      <xdr:colOff>304800</xdr:colOff>
      <xdr:row>68</xdr:row>
      <xdr:rowOff>123825</xdr:rowOff>
    </xdr:to>
    <xdr:sp macro="" textlink="">
      <xdr:nvSpPr>
        <xdr:cNvPr id="4" name="AutoShape 7" descr="Generated image">
          <a:extLst>
            <a:ext uri="{FF2B5EF4-FFF2-40B4-BE49-F238E27FC236}">
              <a16:creationId xmlns:a16="http://schemas.microsoft.com/office/drawing/2014/main" id="{29291C4B-22D0-425A-A48B-18E4B1BA6DA3}"/>
            </a:ext>
          </a:extLst>
        </xdr:cNvPr>
        <xdr:cNvSpPr>
          <a:spLocks noChangeAspect="1" noChangeArrowheads="1"/>
        </xdr:cNvSpPr>
      </xdr:nvSpPr>
      <xdr:spPr bwMode="auto">
        <a:xfrm>
          <a:off x="0" y="12573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67</xdr:row>
      <xdr:rowOff>0</xdr:rowOff>
    </xdr:from>
    <xdr:to>
      <xdr:col>3</xdr:col>
      <xdr:colOff>304800</xdr:colOff>
      <xdr:row>68</xdr:row>
      <xdr:rowOff>123825</xdr:rowOff>
    </xdr:to>
    <xdr:sp macro="" textlink="">
      <xdr:nvSpPr>
        <xdr:cNvPr id="5" name="AutoShape 8" descr="Generated image">
          <a:extLst>
            <a:ext uri="{FF2B5EF4-FFF2-40B4-BE49-F238E27FC236}">
              <a16:creationId xmlns:a16="http://schemas.microsoft.com/office/drawing/2014/main" id="{E8EE59EA-172F-4610-8F40-DB80083C3AD4}"/>
            </a:ext>
            <a:ext uri="{147F2762-F138-4A5C-976F-8EAC2B608ADB}">
              <a16:predDERef xmlns:a16="http://schemas.microsoft.com/office/drawing/2014/main" pred="{29291C4B-22D0-425A-A48B-18E4B1BA6DA3}"/>
            </a:ext>
          </a:extLst>
        </xdr:cNvPr>
        <xdr:cNvSpPr>
          <a:spLocks noChangeAspect="1" noChangeArrowheads="1"/>
        </xdr:cNvSpPr>
      </xdr:nvSpPr>
      <xdr:spPr bwMode="auto">
        <a:xfrm>
          <a:off x="0" y="12573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13</xdr:row>
      <xdr:rowOff>123825</xdr:rowOff>
    </xdr:to>
    <xdr:sp macro="" textlink="">
      <xdr:nvSpPr>
        <xdr:cNvPr id="1031" name="AutoShape 7" descr="Generated image">
          <a:extLst>
            <a:ext uri="{FF2B5EF4-FFF2-40B4-BE49-F238E27FC236}">
              <a16:creationId xmlns:a16="http://schemas.microsoft.com/office/drawing/2014/main" id="{55137A23-422B-686F-08D5-C68C137E764D}"/>
            </a:ext>
          </a:extLst>
        </xdr:cNvPr>
        <xdr:cNvSpPr>
          <a:spLocks noChangeAspect="1" noChangeArrowheads="1"/>
        </xdr:cNvSpPr>
      </xdr:nvSpPr>
      <xdr:spPr bwMode="auto">
        <a:xfrm>
          <a:off x="4389120" y="353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13</xdr:row>
      <xdr:rowOff>123825</xdr:rowOff>
    </xdr:to>
    <xdr:sp macro="" textlink="">
      <xdr:nvSpPr>
        <xdr:cNvPr id="1032" name="AutoShape 8" descr="Generated image">
          <a:extLst>
            <a:ext uri="{FF2B5EF4-FFF2-40B4-BE49-F238E27FC236}">
              <a16:creationId xmlns:a16="http://schemas.microsoft.com/office/drawing/2014/main" id="{2A942D5D-368E-C739-93AC-0E5A205CD04B}"/>
            </a:ext>
          </a:extLst>
        </xdr:cNvPr>
        <xdr:cNvSpPr>
          <a:spLocks noChangeAspect="1" noChangeArrowheads="1"/>
        </xdr:cNvSpPr>
      </xdr:nvSpPr>
      <xdr:spPr bwMode="auto">
        <a:xfrm>
          <a:off x="4389120" y="353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showGridLines="0" workbookViewId="0">
      <selection activeCell="B15" sqref="B15:G15"/>
    </sheetView>
  </sheetViews>
  <sheetFormatPr defaultRowHeight="15" x14ac:dyDescent="0.25"/>
  <cols>
    <col min="1" max="1" width="28" customWidth="1"/>
    <col min="2" max="2" width="25" customWidth="1"/>
    <col min="3" max="7" width="18" customWidth="1"/>
  </cols>
  <sheetData>
    <row r="1" spans="1:7" ht="34.15" customHeight="1" x14ac:dyDescent="0.25">
      <c r="A1" s="100" t="s">
        <v>0</v>
      </c>
      <c r="B1" s="98"/>
      <c r="C1" s="98"/>
      <c r="D1" s="98"/>
      <c r="E1" s="98"/>
      <c r="F1" s="98"/>
      <c r="G1" s="98"/>
    </row>
    <row r="3" spans="1:7" ht="43.9" customHeight="1" x14ac:dyDescent="0.25">
      <c r="A3" s="1" t="s">
        <v>1</v>
      </c>
      <c r="B3" s="99" t="s">
        <v>2</v>
      </c>
      <c r="C3" s="98"/>
      <c r="D3" s="98"/>
      <c r="E3" s="98"/>
      <c r="F3" s="98"/>
      <c r="G3" s="98"/>
    </row>
    <row r="4" spans="1:7" ht="43.9" customHeight="1" x14ac:dyDescent="0.25">
      <c r="A4" s="1" t="s">
        <v>3</v>
      </c>
      <c r="B4" s="99" t="s">
        <v>4</v>
      </c>
      <c r="C4" s="98"/>
      <c r="D4" s="98"/>
      <c r="E4" s="98"/>
      <c r="F4" s="98"/>
      <c r="G4" s="98"/>
    </row>
    <row r="5" spans="1:7" ht="43.9" customHeight="1" x14ac:dyDescent="0.25">
      <c r="A5" s="1" t="s">
        <v>5</v>
      </c>
      <c r="B5" s="99" t="s">
        <v>6</v>
      </c>
      <c r="C5" s="98"/>
      <c r="D5" s="98"/>
      <c r="E5" s="98"/>
      <c r="F5" s="98"/>
      <c r="G5" s="98"/>
    </row>
    <row r="6" spans="1:7" ht="43.9" customHeight="1" x14ac:dyDescent="0.25">
      <c r="A6" s="1" t="s">
        <v>7</v>
      </c>
      <c r="B6" s="99" t="s">
        <v>8</v>
      </c>
      <c r="C6" s="98"/>
      <c r="D6" s="98"/>
      <c r="E6" s="98"/>
      <c r="F6" s="98"/>
      <c r="G6" s="98"/>
    </row>
    <row r="7" spans="1:7" ht="43.9" customHeight="1" x14ac:dyDescent="0.25">
      <c r="A7" s="1" t="s">
        <v>9</v>
      </c>
      <c r="B7" s="99" t="s">
        <v>10</v>
      </c>
      <c r="C7" s="98"/>
      <c r="D7" s="98"/>
      <c r="E7" s="98"/>
      <c r="F7" s="98"/>
      <c r="G7" s="98"/>
    </row>
    <row r="8" spans="1:7" ht="43.9" customHeight="1" x14ac:dyDescent="0.25">
      <c r="A8" s="1" t="s">
        <v>11</v>
      </c>
      <c r="B8" s="99" t="s">
        <v>12</v>
      </c>
      <c r="C8" s="98"/>
      <c r="D8" s="98"/>
      <c r="E8" s="98"/>
      <c r="F8" s="98"/>
      <c r="G8" s="98"/>
    </row>
    <row r="9" spans="1:7" ht="43.9" customHeight="1" x14ac:dyDescent="0.25">
      <c r="A9" s="1" t="s">
        <v>13</v>
      </c>
      <c r="B9" s="99" t="s">
        <v>14</v>
      </c>
      <c r="C9" s="98"/>
      <c r="D9" s="98"/>
      <c r="E9" s="98"/>
      <c r="F9" s="98"/>
      <c r="G9" s="98"/>
    </row>
    <row r="10" spans="1:7" ht="43.9" customHeight="1" x14ac:dyDescent="0.25">
      <c r="A10" s="1" t="s">
        <v>15</v>
      </c>
      <c r="B10" s="99" t="s">
        <v>16</v>
      </c>
      <c r="C10" s="98"/>
      <c r="D10" s="98"/>
      <c r="E10" s="98"/>
      <c r="F10" s="98"/>
      <c r="G10" s="98"/>
    </row>
    <row r="13" spans="1:7" ht="18.75" x14ac:dyDescent="0.3">
      <c r="A13" s="2" t="s">
        <v>17</v>
      </c>
    </row>
    <row r="14" spans="1:7" ht="34.15" customHeight="1" x14ac:dyDescent="0.25">
      <c r="A14" s="3" t="s">
        <v>18</v>
      </c>
      <c r="B14" s="99" t="s">
        <v>19</v>
      </c>
      <c r="C14" s="98"/>
      <c r="D14" s="98"/>
      <c r="E14" s="98"/>
      <c r="F14" s="98"/>
      <c r="G14" s="98"/>
    </row>
    <row r="15" spans="1:7" ht="34.15" customHeight="1" x14ac:dyDescent="0.25">
      <c r="A15" s="3" t="s">
        <v>20</v>
      </c>
      <c r="B15" s="99" t="s">
        <v>21</v>
      </c>
      <c r="C15" s="98"/>
      <c r="D15" s="98"/>
      <c r="E15" s="98"/>
      <c r="F15" s="98"/>
      <c r="G15" s="98"/>
    </row>
    <row r="16" spans="1:7" ht="34.15" customHeight="1" x14ac:dyDescent="0.25">
      <c r="A16" s="3" t="s">
        <v>22</v>
      </c>
      <c r="B16" s="99" t="s">
        <v>23</v>
      </c>
      <c r="C16" s="98"/>
      <c r="D16" s="98"/>
      <c r="E16" s="98"/>
      <c r="F16" s="98"/>
      <c r="G16" s="98"/>
    </row>
    <row r="17" spans="1:7" ht="34.15" customHeight="1" x14ac:dyDescent="0.25">
      <c r="A17" s="3" t="s">
        <v>24</v>
      </c>
      <c r="B17" s="99" t="s">
        <v>25</v>
      </c>
      <c r="C17" s="98"/>
      <c r="D17" s="98"/>
      <c r="E17" s="98"/>
      <c r="F17" s="98"/>
      <c r="G17" s="98"/>
    </row>
    <row r="18" spans="1:7" ht="34.15" customHeight="1" x14ac:dyDescent="0.25">
      <c r="A18" s="3" t="s">
        <v>26</v>
      </c>
      <c r="B18" s="99" t="s">
        <v>27</v>
      </c>
      <c r="C18" s="98"/>
      <c r="D18" s="98"/>
      <c r="E18" s="98"/>
      <c r="F18" s="98"/>
      <c r="G18" s="98"/>
    </row>
    <row r="19" spans="1:7" ht="34.15" customHeight="1" x14ac:dyDescent="0.25">
      <c r="A19" s="3" t="s">
        <v>28</v>
      </c>
      <c r="B19" s="99" t="s">
        <v>29</v>
      </c>
      <c r="C19" s="98"/>
      <c r="D19" s="98"/>
      <c r="E19" s="98"/>
      <c r="F19" s="98"/>
      <c r="G19" s="98"/>
    </row>
    <row r="20" spans="1:7" ht="34.15" customHeight="1" x14ac:dyDescent="0.25">
      <c r="A20" s="3" t="s">
        <v>30</v>
      </c>
      <c r="B20" s="99" t="s">
        <v>31</v>
      </c>
      <c r="C20" s="98"/>
      <c r="D20" s="98"/>
      <c r="E20" s="98"/>
      <c r="F20" s="98"/>
      <c r="G20" s="98"/>
    </row>
    <row r="23" spans="1:7" ht="40.15" customHeight="1" x14ac:dyDescent="0.3">
      <c r="A23" s="2" t="s">
        <v>32</v>
      </c>
      <c r="B23" s="97" t="s">
        <v>33</v>
      </c>
      <c r="C23" s="98"/>
      <c r="D23" s="98"/>
      <c r="E23" s="98"/>
      <c r="F23" s="98"/>
      <c r="G23" s="98"/>
    </row>
  </sheetData>
  <mergeCells count="17">
    <mergeCell ref="A1:G1"/>
    <mergeCell ref="B5:G5"/>
    <mergeCell ref="B14:G14"/>
    <mergeCell ref="B17:G17"/>
    <mergeCell ref="B9:G9"/>
    <mergeCell ref="B3:G3"/>
    <mergeCell ref="B16:G16"/>
    <mergeCell ref="B10:G10"/>
    <mergeCell ref="B23:G23"/>
    <mergeCell ref="B8:G8"/>
    <mergeCell ref="B4:G4"/>
    <mergeCell ref="B18:G18"/>
    <mergeCell ref="B15:G15"/>
    <mergeCell ref="B7:G7"/>
    <mergeCell ref="B6:G6"/>
    <mergeCell ref="B19:G19"/>
    <mergeCell ref="B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D009-2F53-47C3-A25B-40485B453116}">
  <dimension ref="A1:Q91"/>
  <sheetViews>
    <sheetView tabSelected="1" topLeftCell="K14" workbookViewId="0">
      <selection activeCell="P25" sqref="P25"/>
    </sheetView>
  </sheetViews>
  <sheetFormatPr defaultColWidth="33.85546875" defaultRowHeight="15" x14ac:dyDescent="0.25"/>
  <cols>
    <col min="1" max="1" width="22.85546875" bestFit="1" customWidth="1"/>
    <col min="2" max="2" width="13.7109375" bestFit="1" customWidth="1"/>
    <col min="3" max="3" width="12.42578125" bestFit="1" customWidth="1"/>
    <col min="4" max="4" width="25.7109375" bestFit="1" customWidth="1"/>
    <col min="5" max="5" width="13.28515625" bestFit="1" customWidth="1"/>
    <col min="6" max="7" width="32.85546875" bestFit="1" customWidth="1"/>
    <col min="8" max="8" width="16.5703125" bestFit="1" customWidth="1"/>
    <col min="9" max="9" width="16.5703125" customWidth="1"/>
    <col min="10" max="10" width="31.42578125" bestFit="1" customWidth="1"/>
    <col min="11" max="11" width="8.28515625" bestFit="1" customWidth="1"/>
    <col min="12" max="12" width="19.5703125" bestFit="1" customWidth="1"/>
    <col min="13" max="13" width="19.5703125" customWidth="1"/>
    <col min="14" max="14" width="20.7109375" bestFit="1" customWidth="1"/>
  </cols>
  <sheetData>
    <row r="1" spans="1:17" ht="30" x14ac:dyDescent="0.25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39</v>
      </c>
      <c r="H1" s="4" t="s">
        <v>40</v>
      </c>
      <c r="I1" s="96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</row>
    <row r="2" spans="1:17" x14ac:dyDescent="0.25">
      <c r="A2" t="s">
        <v>50</v>
      </c>
      <c r="B2" s="5" t="s">
        <v>51</v>
      </c>
      <c r="C2" s="21">
        <v>101589286</v>
      </c>
      <c r="D2" s="21" t="s">
        <v>52</v>
      </c>
      <c r="E2" t="s">
        <v>53</v>
      </c>
      <c r="F2" t="s">
        <v>54</v>
      </c>
      <c r="G2" t="s">
        <v>54</v>
      </c>
      <c r="H2" s="32">
        <v>45614</v>
      </c>
      <c r="I2" s="21" t="s">
        <v>55</v>
      </c>
      <c r="J2" s="21" t="s">
        <v>56</v>
      </c>
      <c r="L2" s="32">
        <v>45616</v>
      </c>
      <c r="M2" s="21">
        <v>101589286</v>
      </c>
      <c r="N2" s="32">
        <v>45677</v>
      </c>
      <c r="O2" s="21" t="s">
        <v>57</v>
      </c>
      <c r="P2" s="79">
        <v>45636</v>
      </c>
    </row>
    <row r="3" spans="1:17" x14ac:dyDescent="0.25">
      <c r="A3" t="s">
        <v>58</v>
      </c>
      <c r="B3" s="5" t="s">
        <v>59</v>
      </c>
      <c r="C3" s="23">
        <v>101589287</v>
      </c>
      <c r="D3" s="21" t="s">
        <v>60</v>
      </c>
      <c r="E3" t="s">
        <v>53</v>
      </c>
      <c r="F3" t="s">
        <v>54</v>
      </c>
      <c r="G3" t="s">
        <v>54</v>
      </c>
      <c r="H3" s="32">
        <v>45614</v>
      </c>
      <c r="I3" s="21" t="s">
        <v>55</v>
      </c>
      <c r="J3" s="21" t="s">
        <v>56</v>
      </c>
      <c r="L3" s="32">
        <v>45616</v>
      </c>
      <c r="M3" s="23">
        <v>101589287</v>
      </c>
      <c r="N3" s="32">
        <v>45672</v>
      </c>
      <c r="O3" s="21" t="s">
        <v>57</v>
      </c>
      <c r="P3" s="79">
        <v>45636</v>
      </c>
    </row>
    <row r="4" spans="1:17" x14ac:dyDescent="0.25">
      <c r="A4" t="s">
        <v>61</v>
      </c>
      <c r="B4" s="5" t="s">
        <v>62</v>
      </c>
      <c r="C4" s="21">
        <v>101589289</v>
      </c>
      <c r="D4" s="21" t="s">
        <v>63</v>
      </c>
      <c r="E4" t="s">
        <v>64</v>
      </c>
      <c r="F4" t="s">
        <v>65</v>
      </c>
      <c r="G4" t="s">
        <v>65</v>
      </c>
      <c r="H4" s="32">
        <v>45628</v>
      </c>
      <c r="I4" s="21" t="s">
        <v>55</v>
      </c>
      <c r="J4" s="21" t="s">
        <v>56</v>
      </c>
      <c r="L4" s="32">
        <v>45635</v>
      </c>
      <c r="M4" s="21">
        <v>101589289</v>
      </c>
      <c r="N4" s="32">
        <v>45691</v>
      </c>
      <c r="O4" s="21" t="s">
        <v>57</v>
      </c>
      <c r="P4" s="79">
        <v>45670</v>
      </c>
    </row>
    <row r="5" spans="1:17" x14ac:dyDescent="0.25">
      <c r="A5" t="s">
        <v>66</v>
      </c>
      <c r="B5" s="5" t="s">
        <v>67</v>
      </c>
      <c r="C5" s="21">
        <v>101589293</v>
      </c>
      <c r="D5" s="21" t="s">
        <v>68</v>
      </c>
      <c r="E5" t="s">
        <v>64</v>
      </c>
      <c r="F5" t="s">
        <v>65</v>
      </c>
      <c r="G5" t="s">
        <v>65</v>
      </c>
      <c r="H5" s="32">
        <v>45628</v>
      </c>
      <c r="I5" s="21" t="s">
        <v>55</v>
      </c>
      <c r="J5" s="21" t="s">
        <v>56</v>
      </c>
      <c r="L5" s="32">
        <v>45635</v>
      </c>
      <c r="M5" s="21">
        <v>101589293</v>
      </c>
      <c r="N5" s="32">
        <v>45691</v>
      </c>
      <c r="O5" s="21" t="s">
        <v>57</v>
      </c>
      <c r="P5" s="93">
        <v>45670</v>
      </c>
    </row>
    <row r="6" spans="1:17" x14ac:dyDescent="0.25">
      <c r="A6" t="s">
        <v>69</v>
      </c>
      <c r="B6" s="5" t="s">
        <v>70</v>
      </c>
      <c r="C6" s="21">
        <v>101592508</v>
      </c>
      <c r="D6" s="21" t="s">
        <v>71</v>
      </c>
      <c r="E6" t="s">
        <v>53</v>
      </c>
      <c r="F6" t="s">
        <v>54</v>
      </c>
      <c r="G6" t="s">
        <v>54</v>
      </c>
      <c r="H6" s="32">
        <v>45614</v>
      </c>
      <c r="I6" s="21" t="s">
        <v>72</v>
      </c>
      <c r="J6" s="21" t="s">
        <v>56</v>
      </c>
      <c r="L6" s="32">
        <v>45616</v>
      </c>
      <c r="M6" s="21">
        <v>101592508</v>
      </c>
      <c r="N6" s="32">
        <v>45672</v>
      </c>
      <c r="O6" s="21" t="s">
        <v>57</v>
      </c>
      <c r="P6" s="79">
        <v>45636</v>
      </c>
    </row>
    <row r="7" spans="1:17" x14ac:dyDescent="0.25">
      <c r="A7" t="s">
        <v>73</v>
      </c>
      <c r="B7" s="5" t="s">
        <v>74</v>
      </c>
      <c r="C7" s="21">
        <v>101593052</v>
      </c>
      <c r="D7" s="21" t="s">
        <v>75</v>
      </c>
      <c r="E7" t="s">
        <v>53</v>
      </c>
      <c r="F7" t="s">
        <v>54</v>
      </c>
      <c r="G7" t="s">
        <v>54</v>
      </c>
      <c r="H7" s="32">
        <v>45614</v>
      </c>
      <c r="I7" s="21" t="s">
        <v>55</v>
      </c>
      <c r="J7" s="21" t="s">
        <v>56</v>
      </c>
      <c r="L7" s="32">
        <v>45616</v>
      </c>
      <c r="M7" s="21">
        <v>101593052</v>
      </c>
      <c r="N7" s="32">
        <v>45672</v>
      </c>
      <c r="O7" s="21" t="s">
        <v>57</v>
      </c>
      <c r="P7" s="93">
        <v>45636</v>
      </c>
    </row>
    <row r="8" spans="1:17" x14ac:dyDescent="0.25">
      <c r="A8" t="s">
        <v>76</v>
      </c>
      <c r="B8" s="5" t="s">
        <v>77</v>
      </c>
      <c r="C8" s="21">
        <v>101595075</v>
      </c>
      <c r="D8" s="21" t="s">
        <v>78</v>
      </c>
      <c r="E8" t="s">
        <v>53</v>
      </c>
      <c r="F8" t="s">
        <v>54</v>
      </c>
      <c r="G8" t="s">
        <v>54</v>
      </c>
      <c r="H8" s="32">
        <v>45614</v>
      </c>
      <c r="I8" s="21" t="s">
        <v>55</v>
      </c>
      <c r="J8" s="21" t="s">
        <v>56</v>
      </c>
      <c r="L8" s="32">
        <v>45616</v>
      </c>
      <c r="M8" s="21">
        <v>101595075</v>
      </c>
      <c r="N8" s="32">
        <v>45677</v>
      </c>
      <c r="O8" s="21" t="s">
        <v>57</v>
      </c>
      <c r="P8" s="79">
        <v>45636</v>
      </c>
    </row>
    <row r="9" spans="1:17" x14ac:dyDescent="0.25">
      <c r="A9" t="s">
        <v>79</v>
      </c>
      <c r="B9" s="5" t="s">
        <v>80</v>
      </c>
      <c r="C9" s="21">
        <v>101595096</v>
      </c>
      <c r="D9" s="21" t="s">
        <v>81</v>
      </c>
      <c r="E9" t="s">
        <v>53</v>
      </c>
      <c r="F9" t="s">
        <v>54</v>
      </c>
      <c r="G9" t="s">
        <v>54</v>
      </c>
      <c r="H9" s="32">
        <v>45614</v>
      </c>
      <c r="I9" s="21" t="s">
        <v>55</v>
      </c>
      <c r="J9" s="21" t="s">
        <v>56</v>
      </c>
      <c r="L9" s="32">
        <v>45616</v>
      </c>
      <c r="M9" s="21">
        <v>101595096</v>
      </c>
      <c r="N9" s="32">
        <v>45672</v>
      </c>
      <c r="O9" s="21" t="s">
        <v>82</v>
      </c>
      <c r="P9" s="79">
        <v>45636</v>
      </c>
    </row>
    <row r="10" spans="1:17" x14ac:dyDescent="0.25">
      <c r="A10" t="s">
        <v>83</v>
      </c>
      <c r="B10" s="5" t="s">
        <v>84</v>
      </c>
      <c r="C10" s="21">
        <v>101596282</v>
      </c>
      <c r="D10" s="21" t="s">
        <v>85</v>
      </c>
      <c r="E10" t="s">
        <v>53</v>
      </c>
      <c r="F10" t="s">
        <v>54</v>
      </c>
      <c r="G10" t="s">
        <v>54</v>
      </c>
      <c r="H10" s="32">
        <v>45614</v>
      </c>
      <c r="I10" s="21" t="s">
        <v>55</v>
      </c>
      <c r="J10" s="21" t="s">
        <v>56</v>
      </c>
      <c r="L10" s="32">
        <v>45616</v>
      </c>
      <c r="M10" s="21">
        <v>101596282</v>
      </c>
      <c r="N10" s="32">
        <v>45672</v>
      </c>
      <c r="O10" s="21" t="s">
        <v>57</v>
      </c>
      <c r="P10" s="79">
        <v>45636</v>
      </c>
    </row>
    <row r="11" spans="1:17" x14ac:dyDescent="0.25">
      <c r="A11" t="s">
        <v>86</v>
      </c>
      <c r="B11" s="5" t="s">
        <v>87</v>
      </c>
      <c r="C11" s="21">
        <v>101602637</v>
      </c>
      <c r="D11" s="21" t="s">
        <v>88</v>
      </c>
      <c r="E11" t="s">
        <v>64</v>
      </c>
      <c r="F11" t="s">
        <v>65</v>
      </c>
      <c r="G11" t="s">
        <v>65</v>
      </c>
      <c r="H11" s="32">
        <v>45628</v>
      </c>
      <c r="I11" s="21" t="s">
        <v>55</v>
      </c>
      <c r="J11" s="21" t="s">
        <v>56</v>
      </c>
      <c r="L11" s="32">
        <v>45635</v>
      </c>
      <c r="M11" s="21">
        <v>101602637</v>
      </c>
      <c r="N11" s="32">
        <v>45691</v>
      </c>
      <c r="O11" s="21" t="s">
        <v>57</v>
      </c>
      <c r="P11" s="79">
        <v>45670</v>
      </c>
    </row>
    <row r="12" spans="1:17" x14ac:dyDescent="0.25">
      <c r="A12" t="s">
        <v>89</v>
      </c>
      <c r="B12" s="5" t="s">
        <v>90</v>
      </c>
      <c r="C12" s="21">
        <v>101602653</v>
      </c>
      <c r="D12" s="21" t="s">
        <v>91</v>
      </c>
      <c r="E12" t="s">
        <v>92</v>
      </c>
      <c r="F12" t="s">
        <v>93</v>
      </c>
      <c r="G12" t="s">
        <v>93</v>
      </c>
      <c r="H12" s="32">
        <v>45670</v>
      </c>
      <c r="I12" s="21" t="s">
        <v>55</v>
      </c>
      <c r="J12" s="21" t="s">
        <v>94</v>
      </c>
      <c r="L12" s="32">
        <v>45672</v>
      </c>
      <c r="M12" s="21">
        <v>101602653</v>
      </c>
      <c r="N12" s="32">
        <v>45719</v>
      </c>
      <c r="O12" s="21" t="s">
        <v>57</v>
      </c>
      <c r="P12" s="79">
        <v>45694</v>
      </c>
    </row>
    <row r="13" spans="1:17" x14ac:dyDescent="0.25">
      <c r="A13" t="s">
        <v>95</v>
      </c>
      <c r="B13" s="5" t="s">
        <v>96</v>
      </c>
      <c r="C13" s="21">
        <v>101603363</v>
      </c>
      <c r="D13" s="21" t="s">
        <v>97</v>
      </c>
      <c r="E13" t="s">
        <v>98</v>
      </c>
      <c r="F13" t="s">
        <v>99</v>
      </c>
      <c r="G13" t="s">
        <v>99</v>
      </c>
      <c r="H13" s="32">
        <v>45635</v>
      </c>
      <c r="I13" s="21" t="s">
        <v>55</v>
      </c>
      <c r="J13" s="21" t="s">
        <v>94</v>
      </c>
      <c r="L13" s="32">
        <v>45637</v>
      </c>
      <c r="M13" s="21">
        <v>101603363</v>
      </c>
      <c r="N13" s="32">
        <v>45714</v>
      </c>
      <c r="O13" s="21" t="s">
        <v>57</v>
      </c>
      <c r="P13" s="93">
        <v>45692</v>
      </c>
    </row>
    <row r="14" spans="1:17" x14ac:dyDescent="0.25">
      <c r="A14" t="s">
        <v>100</v>
      </c>
      <c r="B14" s="5" t="s">
        <v>101</v>
      </c>
      <c r="C14" s="21">
        <v>101605667</v>
      </c>
      <c r="D14" s="21" t="s">
        <v>102</v>
      </c>
      <c r="E14" t="s">
        <v>98</v>
      </c>
      <c r="F14" t="s">
        <v>99</v>
      </c>
      <c r="G14" t="s">
        <v>99</v>
      </c>
      <c r="H14" s="32">
        <v>45635</v>
      </c>
      <c r="I14" s="21" t="s">
        <v>55</v>
      </c>
      <c r="J14" s="21" t="s">
        <v>94</v>
      </c>
      <c r="K14" s="6"/>
      <c r="L14" s="32">
        <v>45637</v>
      </c>
      <c r="M14" s="21">
        <v>101605667</v>
      </c>
      <c r="N14" s="32">
        <v>45714</v>
      </c>
      <c r="O14" s="21" t="s">
        <v>103</v>
      </c>
      <c r="P14" s="93">
        <v>45692</v>
      </c>
      <c r="Q14" s="95">
        <v>45796</v>
      </c>
    </row>
    <row r="15" spans="1:17" x14ac:dyDescent="0.25">
      <c r="A15" t="s">
        <v>104</v>
      </c>
      <c r="B15" s="5" t="s">
        <v>105</v>
      </c>
      <c r="C15" s="21">
        <v>101609837</v>
      </c>
      <c r="D15" s="21" t="s">
        <v>106</v>
      </c>
      <c r="E15" t="s">
        <v>92</v>
      </c>
      <c r="F15" t="s">
        <v>93</v>
      </c>
      <c r="G15" t="s">
        <v>93</v>
      </c>
      <c r="H15" s="32">
        <v>45670</v>
      </c>
      <c r="I15" s="21" t="s">
        <v>55</v>
      </c>
      <c r="J15" s="21" t="s">
        <v>56</v>
      </c>
      <c r="L15" s="32">
        <v>45672</v>
      </c>
      <c r="M15" s="21">
        <v>101609837</v>
      </c>
      <c r="N15" s="32">
        <v>45719</v>
      </c>
      <c r="O15" s="21" t="s">
        <v>57</v>
      </c>
      <c r="P15" s="79">
        <v>45694</v>
      </c>
    </row>
    <row r="16" spans="1:17" x14ac:dyDescent="0.25">
      <c r="A16" t="s">
        <v>107</v>
      </c>
      <c r="B16" s="5" t="s">
        <v>108</v>
      </c>
      <c r="C16" s="21">
        <v>101611394</v>
      </c>
      <c r="D16" s="21" t="s">
        <v>109</v>
      </c>
      <c r="E16" t="s">
        <v>92</v>
      </c>
      <c r="F16" t="s">
        <v>93</v>
      </c>
      <c r="G16" t="s">
        <v>93</v>
      </c>
      <c r="H16" s="32">
        <v>45670</v>
      </c>
      <c r="I16" s="21" t="s">
        <v>55</v>
      </c>
      <c r="J16" s="21" t="s">
        <v>56</v>
      </c>
      <c r="L16" s="32">
        <v>45672</v>
      </c>
      <c r="M16" s="21">
        <v>101611394</v>
      </c>
      <c r="N16" s="32">
        <v>45740</v>
      </c>
      <c r="O16" s="21" t="s">
        <v>57</v>
      </c>
      <c r="P16" s="93">
        <v>45694</v>
      </c>
    </row>
    <row r="17" spans="1:17" x14ac:dyDescent="0.25">
      <c r="A17" t="s">
        <v>110</v>
      </c>
      <c r="B17" s="5" t="s">
        <v>111</v>
      </c>
      <c r="C17" s="21">
        <v>101611395</v>
      </c>
      <c r="D17" s="21" t="s">
        <v>112</v>
      </c>
      <c r="E17" t="s">
        <v>92</v>
      </c>
      <c r="F17" t="s">
        <v>93</v>
      </c>
      <c r="G17" t="s">
        <v>93</v>
      </c>
      <c r="H17" s="32">
        <v>45670</v>
      </c>
      <c r="I17" s="21" t="s">
        <v>72</v>
      </c>
      <c r="J17" s="21" t="s">
        <v>56</v>
      </c>
      <c r="L17" s="32">
        <v>45672</v>
      </c>
      <c r="M17" s="21">
        <v>101611395</v>
      </c>
      <c r="N17" s="32">
        <v>45740</v>
      </c>
      <c r="O17" s="21" t="s">
        <v>57</v>
      </c>
      <c r="P17" s="79">
        <v>45694</v>
      </c>
    </row>
    <row r="18" spans="1:17" x14ac:dyDescent="0.25">
      <c r="A18" t="s">
        <v>113</v>
      </c>
      <c r="B18" s="5" t="s">
        <v>114</v>
      </c>
      <c r="C18" s="21">
        <v>101616095</v>
      </c>
      <c r="D18" s="21" t="s">
        <v>115</v>
      </c>
      <c r="E18" t="s">
        <v>92</v>
      </c>
      <c r="F18" t="s">
        <v>93</v>
      </c>
      <c r="G18" t="s">
        <v>93</v>
      </c>
      <c r="H18" s="32">
        <v>45670</v>
      </c>
      <c r="I18" s="21" t="s">
        <v>116</v>
      </c>
      <c r="J18" s="21" t="s">
        <v>56</v>
      </c>
      <c r="L18" s="32">
        <v>45672</v>
      </c>
      <c r="M18" s="21">
        <v>101616095</v>
      </c>
      <c r="N18" s="32">
        <v>45740</v>
      </c>
      <c r="O18" s="21" t="s">
        <v>57</v>
      </c>
      <c r="P18" s="79">
        <v>45694</v>
      </c>
    </row>
    <row r="19" spans="1:17" x14ac:dyDescent="0.25">
      <c r="A19" t="s">
        <v>117</v>
      </c>
      <c r="B19" s="5" t="s">
        <v>118</v>
      </c>
      <c r="C19" s="21">
        <v>101616103</v>
      </c>
      <c r="D19" s="21" t="s">
        <v>119</v>
      </c>
      <c r="E19" t="s">
        <v>92</v>
      </c>
      <c r="F19" t="s">
        <v>93</v>
      </c>
      <c r="G19" t="s">
        <v>93</v>
      </c>
      <c r="H19" s="32">
        <v>45670</v>
      </c>
      <c r="I19" s="21" t="s">
        <v>55</v>
      </c>
      <c r="J19" s="21" t="s">
        <v>94</v>
      </c>
      <c r="L19" s="32">
        <v>45672</v>
      </c>
      <c r="M19" s="21">
        <v>101616103</v>
      </c>
      <c r="N19" s="32">
        <v>45995</v>
      </c>
      <c r="O19" s="21" t="s">
        <v>120</v>
      </c>
      <c r="P19" s="79">
        <v>45712</v>
      </c>
    </row>
    <row r="20" spans="1:17" x14ac:dyDescent="0.25">
      <c r="A20" t="s">
        <v>121</v>
      </c>
      <c r="B20" s="5" t="s">
        <v>122</v>
      </c>
      <c r="C20" s="22">
        <v>101624793</v>
      </c>
      <c r="D20" s="21" t="s">
        <v>123</v>
      </c>
      <c r="E20" t="s">
        <v>124</v>
      </c>
      <c r="F20" t="s">
        <v>125</v>
      </c>
      <c r="G20" t="s">
        <v>125</v>
      </c>
      <c r="H20" s="32">
        <v>45719</v>
      </c>
      <c r="I20" s="21" t="s">
        <v>116</v>
      </c>
      <c r="J20" s="21" t="s">
        <v>126</v>
      </c>
      <c r="K20" s="6"/>
      <c r="L20" s="21" t="s">
        <v>127</v>
      </c>
      <c r="M20" s="22">
        <v>101624793</v>
      </c>
      <c r="N20" s="21" t="s">
        <v>127</v>
      </c>
      <c r="O20" s="21" t="s">
        <v>103</v>
      </c>
      <c r="P20" s="79"/>
      <c r="Q20" s="95">
        <v>45870</v>
      </c>
    </row>
    <row r="21" spans="1:17" x14ac:dyDescent="0.25">
      <c r="A21" t="s">
        <v>128</v>
      </c>
      <c r="B21" s="5" t="s">
        <v>129</v>
      </c>
      <c r="C21" s="21">
        <v>101625595</v>
      </c>
      <c r="D21" s="21" t="s">
        <v>130</v>
      </c>
      <c r="E21" t="s">
        <v>131</v>
      </c>
      <c r="F21" t="s">
        <v>132</v>
      </c>
      <c r="G21" t="s">
        <v>132</v>
      </c>
      <c r="H21" s="32">
        <v>45705</v>
      </c>
      <c r="I21" s="21" t="s">
        <v>55</v>
      </c>
      <c r="J21" s="21" t="s">
        <v>56</v>
      </c>
      <c r="L21" s="32">
        <v>45707</v>
      </c>
      <c r="M21" s="21">
        <v>101625595</v>
      </c>
      <c r="N21" s="32">
        <v>45761</v>
      </c>
      <c r="O21" s="21" t="s">
        <v>82</v>
      </c>
      <c r="P21" s="79">
        <v>45730</v>
      </c>
    </row>
    <row r="22" spans="1:17" x14ac:dyDescent="0.25">
      <c r="A22" t="s">
        <v>133</v>
      </c>
      <c r="B22" s="5" t="s">
        <v>134</v>
      </c>
      <c r="C22" s="21">
        <v>101625599</v>
      </c>
      <c r="D22" s="21" t="s">
        <v>135</v>
      </c>
      <c r="E22" t="s">
        <v>131</v>
      </c>
      <c r="F22" t="s">
        <v>132</v>
      </c>
      <c r="G22" t="s">
        <v>132</v>
      </c>
      <c r="H22" s="32">
        <v>45705</v>
      </c>
      <c r="I22" s="21" t="s">
        <v>72</v>
      </c>
      <c r="J22" s="21" t="s">
        <v>56</v>
      </c>
      <c r="L22" s="32">
        <v>45707</v>
      </c>
      <c r="M22" s="21">
        <v>101625599</v>
      </c>
      <c r="N22" s="32">
        <v>45740</v>
      </c>
      <c r="O22" s="21" t="s">
        <v>57</v>
      </c>
      <c r="P22" s="93">
        <v>45730</v>
      </c>
    </row>
    <row r="23" spans="1:17" x14ac:dyDescent="0.25">
      <c r="A23" t="s">
        <v>136</v>
      </c>
      <c r="B23" s="5" t="s">
        <v>137</v>
      </c>
      <c r="C23" s="22">
        <v>101625605</v>
      </c>
      <c r="D23" s="21" t="s">
        <v>138</v>
      </c>
      <c r="E23" t="s">
        <v>131</v>
      </c>
      <c r="F23" t="s">
        <v>132</v>
      </c>
      <c r="G23" t="s">
        <v>132</v>
      </c>
      <c r="H23" s="32">
        <v>45705</v>
      </c>
      <c r="I23" s="21" t="s">
        <v>116</v>
      </c>
      <c r="J23" s="21" t="s">
        <v>56</v>
      </c>
      <c r="K23" s="6"/>
      <c r="L23" s="21" t="s">
        <v>127</v>
      </c>
      <c r="M23" s="22">
        <v>101625605</v>
      </c>
      <c r="N23" s="21" t="s">
        <v>127</v>
      </c>
      <c r="O23" s="21" t="s">
        <v>103</v>
      </c>
      <c r="P23" s="79"/>
      <c r="Q23" s="95">
        <v>45870</v>
      </c>
    </row>
    <row r="24" spans="1:17" x14ac:dyDescent="0.25">
      <c r="A24" t="s">
        <v>139</v>
      </c>
      <c r="B24" s="5" t="s">
        <v>140</v>
      </c>
      <c r="C24" s="21">
        <v>101625610</v>
      </c>
      <c r="D24" s="21" t="s">
        <v>141</v>
      </c>
      <c r="E24" t="s">
        <v>131</v>
      </c>
      <c r="F24" t="s">
        <v>132</v>
      </c>
      <c r="G24" t="s">
        <v>132</v>
      </c>
      <c r="H24" s="32">
        <v>45705</v>
      </c>
      <c r="I24" s="21" t="s">
        <v>55</v>
      </c>
      <c r="J24" s="21" t="s">
        <v>56</v>
      </c>
      <c r="L24" s="32">
        <v>45707</v>
      </c>
      <c r="M24" s="21">
        <v>101625610</v>
      </c>
      <c r="N24" s="32">
        <v>45740</v>
      </c>
      <c r="O24" s="21" t="s">
        <v>57</v>
      </c>
      <c r="P24" s="79">
        <v>45730</v>
      </c>
    </row>
    <row r="25" spans="1:17" x14ac:dyDescent="0.25">
      <c r="A25" t="s">
        <v>142</v>
      </c>
      <c r="B25" s="5" t="s">
        <v>143</v>
      </c>
      <c r="C25" s="22">
        <v>101625861</v>
      </c>
      <c r="D25" s="21" t="s">
        <v>144</v>
      </c>
      <c r="E25" t="s">
        <v>131</v>
      </c>
      <c r="F25" t="s">
        <v>132</v>
      </c>
      <c r="G25" t="s">
        <v>132</v>
      </c>
      <c r="H25" s="32">
        <v>45705</v>
      </c>
      <c r="I25" s="21" t="s">
        <v>55</v>
      </c>
      <c r="J25" s="21" t="s">
        <v>56</v>
      </c>
      <c r="K25" s="6"/>
      <c r="L25" s="21" t="s">
        <v>127</v>
      </c>
      <c r="M25" s="22">
        <v>101625861</v>
      </c>
      <c r="N25" s="21" t="s">
        <v>127</v>
      </c>
      <c r="O25" s="21" t="s">
        <v>103</v>
      </c>
      <c r="P25" s="79"/>
      <c r="Q25" s="95">
        <v>45867</v>
      </c>
    </row>
    <row r="26" spans="1:17" x14ac:dyDescent="0.25">
      <c r="A26" t="s">
        <v>145</v>
      </c>
      <c r="B26" s="5" t="s">
        <v>146</v>
      </c>
      <c r="C26" s="21">
        <v>101627905</v>
      </c>
      <c r="D26" s="21" t="s">
        <v>147</v>
      </c>
      <c r="E26" t="s">
        <v>131</v>
      </c>
      <c r="F26" t="s">
        <v>132</v>
      </c>
      <c r="G26" t="s">
        <v>132</v>
      </c>
      <c r="H26" s="32">
        <v>45705</v>
      </c>
      <c r="I26" s="21" t="s">
        <v>55</v>
      </c>
      <c r="J26" s="21" t="s">
        <v>126</v>
      </c>
      <c r="L26" s="32">
        <v>45707</v>
      </c>
      <c r="M26" s="21">
        <v>101627905</v>
      </c>
      <c r="N26" s="32">
        <v>45749</v>
      </c>
      <c r="O26" s="21" t="s">
        <v>57</v>
      </c>
      <c r="P26" s="79">
        <v>45716</v>
      </c>
    </row>
    <row r="27" spans="1:17" x14ac:dyDescent="0.25">
      <c r="A27" t="s">
        <v>148</v>
      </c>
      <c r="B27" s="5" t="s">
        <v>149</v>
      </c>
      <c r="C27" s="21">
        <v>101633804</v>
      </c>
      <c r="D27" s="21" t="s">
        <v>150</v>
      </c>
      <c r="E27" t="s">
        <v>151</v>
      </c>
      <c r="F27" t="s">
        <v>152</v>
      </c>
      <c r="G27" t="s">
        <v>152</v>
      </c>
      <c r="H27" s="32">
        <v>45733</v>
      </c>
      <c r="I27" s="21" t="s">
        <v>55</v>
      </c>
      <c r="J27" s="21" t="s">
        <v>94</v>
      </c>
      <c r="L27" s="32">
        <v>45735</v>
      </c>
      <c r="M27" s="21">
        <v>101633804</v>
      </c>
      <c r="N27" s="32">
        <v>45831</v>
      </c>
      <c r="O27" s="21" t="s">
        <v>57</v>
      </c>
      <c r="P27" s="79">
        <v>45769</v>
      </c>
    </row>
    <row r="28" spans="1:17" x14ac:dyDescent="0.25">
      <c r="A28" t="s">
        <v>153</v>
      </c>
      <c r="B28" s="5" t="s">
        <v>154</v>
      </c>
      <c r="C28" s="21">
        <v>101634402</v>
      </c>
      <c r="D28" s="21" t="s">
        <v>155</v>
      </c>
      <c r="E28" t="s">
        <v>151</v>
      </c>
      <c r="F28" t="s">
        <v>152</v>
      </c>
      <c r="G28" t="s">
        <v>152</v>
      </c>
      <c r="H28" s="32">
        <v>45733</v>
      </c>
      <c r="I28" s="21" t="s">
        <v>55</v>
      </c>
      <c r="J28" s="21" t="s">
        <v>126</v>
      </c>
      <c r="L28" s="32">
        <v>45735</v>
      </c>
      <c r="M28" s="21">
        <v>101634402</v>
      </c>
      <c r="N28" s="32">
        <v>45875</v>
      </c>
      <c r="O28" s="21" t="s">
        <v>57</v>
      </c>
      <c r="P28" s="93">
        <v>45747</v>
      </c>
    </row>
    <row r="29" spans="1:17" x14ac:dyDescent="0.25">
      <c r="A29" t="s">
        <v>156</v>
      </c>
      <c r="B29" s="5" t="s">
        <v>157</v>
      </c>
      <c r="C29" s="21">
        <v>101635089</v>
      </c>
      <c r="D29" s="21" t="s">
        <v>158</v>
      </c>
      <c r="E29" t="s">
        <v>151</v>
      </c>
      <c r="F29" t="s">
        <v>152</v>
      </c>
      <c r="G29" t="s">
        <v>152</v>
      </c>
      <c r="H29" s="32">
        <v>45733</v>
      </c>
      <c r="I29" s="21" t="s">
        <v>55</v>
      </c>
      <c r="J29" s="21" t="s">
        <v>159</v>
      </c>
      <c r="K29" s="6"/>
      <c r="L29" s="32">
        <v>45735</v>
      </c>
      <c r="M29" s="21">
        <v>101635089</v>
      </c>
      <c r="N29" s="21" t="s">
        <v>127</v>
      </c>
      <c r="O29" s="21" t="s">
        <v>103</v>
      </c>
      <c r="P29" s="95">
        <v>45838</v>
      </c>
      <c r="Q29" s="95">
        <v>45838</v>
      </c>
    </row>
    <row r="30" spans="1:17" x14ac:dyDescent="0.25">
      <c r="A30" t="s">
        <v>160</v>
      </c>
      <c r="B30" s="5" t="s">
        <v>161</v>
      </c>
      <c r="C30" s="21">
        <v>101635090</v>
      </c>
      <c r="D30" s="21" t="s">
        <v>162</v>
      </c>
      <c r="E30" t="s">
        <v>151</v>
      </c>
      <c r="F30" t="s">
        <v>152</v>
      </c>
      <c r="G30" t="s">
        <v>152</v>
      </c>
      <c r="H30" s="32">
        <v>45733</v>
      </c>
      <c r="I30" s="21" t="s">
        <v>55</v>
      </c>
      <c r="J30" s="21" t="s">
        <v>126</v>
      </c>
      <c r="L30" s="32">
        <v>45735</v>
      </c>
      <c r="M30" s="21">
        <v>101635090</v>
      </c>
      <c r="N30" s="32">
        <v>45867</v>
      </c>
      <c r="O30" s="21" t="s">
        <v>57</v>
      </c>
      <c r="P30" s="93">
        <v>45747</v>
      </c>
    </row>
    <row r="31" spans="1:17" x14ac:dyDescent="0.25">
      <c r="A31" t="s">
        <v>163</v>
      </c>
      <c r="B31" s="5" t="s">
        <v>164</v>
      </c>
      <c r="C31" s="21">
        <v>101635091</v>
      </c>
      <c r="D31" s="21" t="s">
        <v>165</v>
      </c>
      <c r="E31" t="s">
        <v>166</v>
      </c>
      <c r="F31" t="s">
        <v>167</v>
      </c>
      <c r="G31" t="s">
        <v>167</v>
      </c>
      <c r="H31" s="32">
        <v>45754</v>
      </c>
      <c r="I31" s="21" t="s">
        <v>55</v>
      </c>
      <c r="J31" s="21" t="s">
        <v>94</v>
      </c>
      <c r="L31" s="32">
        <v>45757</v>
      </c>
      <c r="M31" s="21">
        <v>101635091</v>
      </c>
      <c r="N31" s="32">
        <v>45929</v>
      </c>
      <c r="O31" s="21" t="s">
        <v>57</v>
      </c>
      <c r="P31" s="93">
        <v>45807</v>
      </c>
    </row>
    <row r="32" spans="1:17" x14ac:dyDescent="0.25">
      <c r="A32" t="s">
        <v>168</v>
      </c>
      <c r="B32" s="5" t="s">
        <v>169</v>
      </c>
      <c r="C32" s="22">
        <v>101635235</v>
      </c>
      <c r="D32" s="21" t="s">
        <v>170</v>
      </c>
      <c r="E32" t="s">
        <v>166</v>
      </c>
      <c r="F32" t="s">
        <v>167</v>
      </c>
      <c r="G32" t="s">
        <v>167</v>
      </c>
      <c r="H32" s="32">
        <v>45754</v>
      </c>
      <c r="I32" s="21" t="s">
        <v>72</v>
      </c>
      <c r="J32" s="21" t="s">
        <v>56</v>
      </c>
      <c r="K32" s="6"/>
      <c r="L32" s="21" t="s">
        <v>127</v>
      </c>
      <c r="M32" s="22">
        <v>101635235</v>
      </c>
      <c r="N32" s="21" t="s">
        <v>127</v>
      </c>
      <c r="O32" s="21" t="s">
        <v>103</v>
      </c>
      <c r="P32" s="79"/>
      <c r="Q32" s="95">
        <v>45826</v>
      </c>
    </row>
    <row r="33" spans="1:17" x14ac:dyDescent="0.25">
      <c r="A33" t="s">
        <v>171</v>
      </c>
      <c r="B33" s="5" t="s">
        <v>172</v>
      </c>
      <c r="C33" s="21">
        <v>101635284</v>
      </c>
      <c r="D33" s="21" t="s">
        <v>173</v>
      </c>
      <c r="E33" t="s">
        <v>151</v>
      </c>
      <c r="F33" t="s">
        <v>152</v>
      </c>
      <c r="G33" t="s">
        <v>152</v>
      </c>
      <c r="H33" s="32">
        <v>45733</v>
      </c>
      <c r="I33" s="21" t="s">
        <v>116</v>
      </c>
      <c r="J33" s="21" t="s">
        <v>56</v>
      </c>
      <c r="L33" s="32">
        <v>45735</v>
      </c>
      <c r="M33" s="21">
        <v>101635284</v>
      </c>
      <c r="N33" s="32">
        <v>45859</v>
      </c>
      <c r="O33" s="21" t="s">
        <v>57</v>
      </c>
      <c r="P33" s="93">
        <v>45754</v>
      </c>
    </row>
    <row r="34" spans="1:17" x14ac:dyDescent="0.25">
      <c r="A34" t="s">
        <v>174</v>
      </c>
      <c r="B34" s="5" t="s">
        <v>175</v>
      </c>
      <c r="C34" s="21">
        <v>101637945</v>
      </c>
      <c r="D34" s="21" t="s">
        <v>176</v>
      </c>
      <c r="E34" t="s">
        <v>177</v>
      </c>
      <c r="F34" t="s">
        <v>178</v>
      </c>
      <c r="G34" t="s">
        <v>178</v>
      </c>
      <c r="H34" s="32">
        <v>45775</v>
      </c>
      <c r="I34" s="21" t="s">
        <v>179</v>
      </c>
      <c r="J34" s="21" t="s">
        <v>94</v>
      </c>
      <c r="L34" s="32">
        <v>45777</v>
      </c>
      <c r="M34" s="21">
        <v>101637945</v>
      </c>
      <c r="N34" s="21" t="s">
        <v>127</v>
      </c>
      <c r="O34" s="21" t="s">
        <v>57</v>
      </c>
      <c r="P34" s="79">
        <v>45838</v>
      </c>
    </row>
    <row r="35" spans="1:17" x14ac:dyDescent="0.25">
      <c r="A35" t="s">
        <v>180</v>
      </c>
      <c r="B35" s="5" t="s">
        <v>181</v>
      </c>
      <c r="C35" s="21">
        <v>101638426</v>
      </c>
      <c r="D35" s="21" t="s">
        <v>182</v>
      </c>
      <c r="E35" t="s">
        <v>183</v>
      </c>
      <c r="F35" t="s">
        <v>184</v>
      </c>
      <c r="G35" t="s">
        <v>184</v>
      </c>
      <c r="H35" s="32">
        <v>45782</v>
      </c>
      <c r="I35" s="21" t="s">
        <v>116</v>
      </c>
      <c r="J35" s="21" t="s">
        <v>126</v>
      </c>
      <c r="L35" s="32">
        <v>45784</v>
      </c>
      <c r="M35" s="21">
        <v>101638426</v>
      </c>
      <c r="N35" s="32">
        <v>45852</v>
      </c>
      <c r="O35" s="21" t="s">
        <v>57</v>
      </c>
      <c r="P35" s="79">
        <v>45799</v>
      </c>
    </row>
    <row r="36" spans="1:17" x14ac:dyDescent="0.25">
      <c r="A36" t="s">
        <v>185</v>
      </c>
      <c r="B36" s="5" t="s">
        <v>186</v>
      </c>
      <c r="C36" s="21">
        <v>101638501</v>
      </c>
      <c r="D36" s="21" t="s">
        <v>187</v>
      </c>
      <c r="E36" t="s">
        <v>166</v>
      </c>
      <c r="F36" t="s">
        <v>167</v>
      </c>
      <c r="G36" t="s">
        <v>167</v>
      </c>
      <c r="H36" s="32">
        <v>45754</v>
      </c>
      <c r="I36" s="21" t="s">
        <v>55</v>
      </c>
      <c r="J36" s="21" t="s">
        <v>94</v>
      </c>
      <c r="L36" s="32">
        <v>45757</v>
      </c>
      <c r="M36" s="21">
        <v>101638501</v>
      </c>
      <c r="N36" s="32">
        <v>45831</v>
      </c>
      <c r="O36" s="21" t="s">
        <v>57</v>
      </c>
      <c r="P36" s="79">
        <v>45807</v>
      </c>
    </row>
    <row r="37" spans="1:17" x14ac:dyDescent="0.25">
      <c r="A37" t="s">
        <v>188</v>
      </c>
      <c r="B37" s="5" t="s">
        <v>189</v>
      </c>
      <c r="C37" s="21">
        <v>101640848</v>
      </c>
      <c r="D37" s="21" t="s">
        <v>190</v>
      </c>
      <c r="E37" t="s">
        <v>166</v>
      </c>
      <c r="F37" t="s">
        <v>167</v>
      </c>
      <c r="G37" t="s">
        <v>167</v>
      </c>
      <c r="H37" s="32">
        <v>45754</v>
      </c>
      <c r="I37" s="21" t="s">
        <v>55</v>
      </c>
      <c r="J37" s="21" t="s">
        <v>126</v>
      </c>
      <c r="L37" s="32">
        <v>45757</v>
      </c>
      <c r="M37" s="21">
        <v>101640848</v>
      </c>
      <c r="N37" s="32">
        <v>45868</v>
      </c>
      <c r="O37" s="21" t="s">
        <v>57</v>
      </c>
      <c r="P37" s="79">
        <v>45776</v>
      </c>
    </row>
    <row r="38" spans="1:17" x14ac:dyDescent="0.25">
      <c r="A38" t="s">
        <v>191</v>
      </c>
      <c r="B38" s="5" t="s">
        <v>192</v>
      </c>
      <c r="C38" s="21">
        <v>101648043</v>
      </c>
      <c r="D38" s="21" t="s">
        <v>193</v>
      </c>
      <c r="E38" t="s">
        <v>183</v>
      </c>
      <c r="F38" t="s">
        <v>184</v>
      </c>
      <c r="G38" t="s">
        <v>184</v>
      </c>
      <c r="H38" s="32">
        <v>45782</v>
      </c>
      <c r="I38" s="21" t="s">
        <v>116</v>
      </c>
      <c r="J38" s="21" t="s">
        <v>159</v>
      </c>
      <c r="L38" s="32">
        <v>45784</v>
      </c>
      <c r="M38" s="21">
        <v>101648043</v>
      </c>
      <c r="N38" s="32">
        <v>45873</v>
      </c>
      <c r="O38" s="21" t="s">
        <v>57</v>
      </c>
      <c r="P38" s="79">
        <v>45828</v>
      </c>
    </row>
    <row r="39" spans="1:17" x14ac:dyDescent="0.25">
      <c r="A39" t="s">
        <v>194</v>
      </c>
      <c r="B39" s="5" t="s">
        <v>195</v>
      </c>
      <c r="C39" s="21">
        <v>101649621</v>
      </c>
      <c r="D39" s="21" t="s">
        <v>196</v>
      </c>
      <c r="E39" t="s">
        <v>183</v>
      </c>
      <c r="F39" t="s">
        <v>184</v>
      </c>
      <c r="G39" t="s">
        <v>184</v>
      </c>
      <c r="H39" s="32">
        <v>45782</v>
      </c>
      <c r="I39" s="21" t="s">
        <v>116</v>
      </c>
      <c r="J39" s="21" t="s">
        <v>126</v>
      </c>
      <c r="L39" s="32">
        <v>45784</v>
      </c>
      <c r="M39" s="21">
        <v>101649621</v>
      </c>
      <c r="N39" s="32">
        <v>45916</v>
      </c>
      <c r="O39" s="21" t="s">
        <v>57</v>
      </c>
      <c r="P39" s="93">
        <v>45799</v>
      </c>
    </row>
    <row r="40" spans="1:17" x14ac:dyDescent="0.25">
      <c r="A40" t="s">
        <v>197</v>
      </c>
      <c r="B40" s="5" t="s">
        <v>198</v>
      </c>
      <c r="C40" s="21">
        <v>101649638</v>
      </c>
      <c r="D40" s="21" t="s">
        <v>199</v>
      </c>
      <c r="E40" t="s">
        <v>183</v>
      </c>
      <c r="F40" t="s">
        <v>184</v>
      </c>
      <c r="G40" t="s">
        <v>184</v>
      </c>
      <c r="H40" s="32">
        <v>45782</v>
      </c>
      <c r="I40" s="21" t="s">
        <v>72</v>
      </c>
      <c r="J40" s="21" t="s">
        <v>56</v>
      </c>
      <c r="K40" s="6"/>
      <c r="L40" s="32">
        <v>45784</v>
      </c>
      <c r="M40" s="21">
        <v>101649638</v>
      </c>
      <c r="N40" s="21" t="s">
        <v>127</v>
      </c>
      <c r="O40" s="21" t="s">
        <v>103</v>
      </c>
      <c r="P40" s="93">
        <v>45922</v>
      </c>
      <c r="Q40" s="95">
        <v>45954</v>
      </c>
    </row>
    <row r="41" spans="1:17" x14ac:dyDescent="0.25">
      <c r="A41" t="s">
        <v>200</v>
      </c>
      <c r="B41" s="5" t="s">
        <v>201</v>
      </c>
      <c r="C41" s="21">
        <v>101649640</v>
      </c>
      <c r="D41" s="21" t="s">
        <v>202</v>
      </c>
      <c r="E41" t="s">
        <v>183</v>
      </c>
      <c r="F41" t="s">
        <v>184</v>
      </c>
      <c r="G41" t="s">
        <v>184</v>
      </c>
      <c r="H41" s="32">
        <v>45782</v>
      </c>
      <c r="I41" s="21" t="s">
        <v>55</v>
      </c>
      <c r="J41" s="21" t="s">
        <v>126</v>
      </c>
      <c r="L41" s="32">
        <v>45784</v>
      </c>
      <c r="M41" s="21">
        <v>101649640</v>
      </c>
      <c r="N41" s="32">
        <v>45866</v>
      </c>
      <c r="O41" s="21" t="s">
        <v>57</v>
      </c>
      <c r="P41" s="79">
        <v>45799</v>
      </c>
    </row>
    <row r="42" spans="1:17" x14ac:dyDescent="0.25">
      <c r="A42" t="s">
        <v>203</v>
      </c>
      <c r="B42" s="5" t="s">
        <v>204</v>
      </c>
      <c r="C42" s="21">
        <v>101652954</v>
      </c>
      <c r="D42" s="21" t="s">
        <v>205</v>
      </c>
      <c r="E42" t="s">
        <v>183</v>
      </c>
      <c r="F42" t="s">
        <v>184</v>
      </c>
      <c r="G42" t="s">
        <v>184</v>
      </c>
      <c r="H42" s="32">
        <v>45782</v>
      </c>
      <c r="I42" s="21" t="s">
        <v>55</v>
      </c>
      <c r="J42" s="21" t="s">
        <v>126</v>
      </c>
      <c r="L42" s="32">
        <v>45784</v>
      </c>
      <c r="M42" s="21">
        <v>101652954</v>
      </c>
      <c r="N42" s="32">
        <v>45936</v>
      </c>
      <c r="O42" s="21" t="s">
        <v>57</v>
      </c>
      <c r="P42" s="79">
        <v>45799</v>
      </c>
    </row>
    <row r="43" spans="1:17" x14ac:dyDescent="0.25">
      <c r="A43" t="s">
        <v>206</v>
      </c>
      <c r="B43" s="5" t="s">
        <v>207</v>
      </c>
      <c r="C43" s="21">
        <v>101655940</v>
      </c>
      <c r="D43" s="21" t="s">
        <v>208</v>
      </c>
      <c r="E43" t="s">
        <v>209</v>
      </c>
      <c r="F43" t="s">
        <v>210</v>
      </c>
      <c r="G43" t="s">
        <v>210</v>
      </c>
      <c r="H43" s="32">
        <v>45824</v>
      </c>
      <c r="I43" s="21" t="s">
        <v>55</v>
      </c>
      <c r="J43" s="21" t="s">
        <v>126</v>
      </c>
      <c r="K43" s="6"/>
      <c r="L43" s="32">
        <v>45825</v>
      </c>
      <c r="M43" s="21">
        <v>101655940</v>
      </c>
      <c r="N43" s="21" t="s">
        <v>127</v>
      </c>
      <c r="O43" s="21" t="s">
        <v>103</v>
      </c>
      <c r="P43" s="79">
        <v>45839</v>
      </c>
      <c r="Q43" s="95">
        <v>45968</v>
      </c>
    </row>
    <row r="44" spans="1:17" x14ac:dyDescent="0.25">
      <c r="A44" t="s">
        <v>211</v>
      </c>
      <c r="B44" s="5" t="s">
        <v>212</v>
      </c>
      <c r="C44" s="21">
        <v>101655941</v>
      </c>
      <c r="D44" s="21" t="s">
        <v>213</v>
      </c>
      <c r="E44" t="s">
        <v>209</v>
      </c>
      <c r="F44" t="s">
        <v>210</v>
      </c>
      <c r="G44" t="s">
        <v>210</v>
      </c>
      <c r="H44" s="32">
        <v>45824</v>
      </c>
      <c r="I44" s="21" t="s">
        <v>55</v>
      </c>
      <c r="J44" s="21" t="s">
        <v>126</v>
      </c>
      <c r="L44" s="32">
        <v>45825</v>
      </c>
      <c r="M44" s="21">
        <v>101655941</v>
      </c>
      <c r="N44" s="32">
        <v>45867</v>
      </c>
      <c r="O44" s="21" t="s">
        <v>57</v>
      </c>
      <c r="P44" s="79">
        <v>45839</v>
      </c>
    </row>
    <row r="45" spans="1:17" x14ac:dyDescent="0.25">
      <c r="A45" t="s">
        <v>214</v>
      </c>
      <c r="B45" s="5" t="s">
        <v>215</v>
      </c>
      <c r="C45" s="21">
        <v>101655942</v>
      </c>
      <c r="D45" s="21" t="s">
        <v>216</v>
      </c>
      <c r="E45" t="s">
        <v>217</v>
      </c>
      <c r="F45" t="s">
        <v>210</v>
      </c>
      <c r="G45" t="s">
        <v>210</v>
      </c>
      <c r="H45" s="32">
        <v>46113</v>
      </c>
      <c r="I45" s="21" t="s">
        <v>55</v>
      </c>
      <c r="J45" s="21" t="s">
        <v>126</v>
      </c>
      <c r="L45" s="32">
        <v>45825</v>
      </c>
      <c r="M45" s="21">
        <v>101655942</v>
      </c>
      <c r="N45" s="32">
        <v>45875</v>
      </c>
      <c r="O45" s="21" t="s">
        <v>120</v>
      </c>
      <c r="P45" s="79">
        <v>45839</v>
      </c>
    </row>
    <row r="46" spans="1:17" x14ac:dyDescent="0.25">
      <c r="A46" t="s">
        <v>218</v>
      </c>
      <c r="B46" s="5" t="s">
        <v>219</v>
      </c>
      <c r="C46" s="21">
        <v>101657418</v>
      </c>
      <c r="D46" s="21" t="s">
        <v>220</v>
      </c>
      <c r="E46" t="s">
        <v>209</v>
      </c>
      <c r="F46" t="s">
        <v>210</v>
      </c>
      <c r="G46" t="s">
        <v>210</v>
      </c>
      <c r="H46" s="32">
        <v>45824</v>
      </c>
      <c r="I46" s="21" t="s">
        <v>55</v>
      </c>
      <c r="J46" s="21" t="s">
        <v>126</v>
      </c>
      <c r="L46" s="32">
        <v>45825</v>
      </c>
      <c r="M46" s="21">
        <v>101657418</v>
      </c>
      <c r="N46" s="32">
        <v>45867</v>
      </c>
      <c r="O46" s="21" t="s">
        <v>120</v>
      </c>
      <c r="P46" s="79">
        <v>45839</v>
      </c>
    </row>
    <row r="47" spans="1:17" x14ac:dyDescent="0.25">
      <c r="A47" t="s">
        <v>221</v>
      </c>
      <c r="B47" s="5" t="s">
        <v>222</v>
      </c>
      <c r="C47" s="21">
        <v>101657797</v>
      </c>
      <c r="D47" s="21" t="s">
        <v>223</v>
      </c>
      <c r="E47" t="s">
        <v>209</v>
      </c>
      <c r="F47" t="s">
        <v>210</v>
      </c>
      <c r="G47" t="s">
        <v>210</v>
      </c>
      <c r="H47" s="32">
        <v>45824</v>
      </c>
      <c r="I47" s="21" t="s">
        <v>55</v>
      </c>
      <c r="J47" s="21" t="s">
        <v>56</v>
      </c>
      <c r="L47" s="32">
        <v>45825</v>
      </c>
      <c r="M47" s="21">
        <v>101657797</v>
      </c>
      <c r="N47" s="32">
        <v>45867</v>
      </c>
      <c r="O47" s="21" t="s">
        <v>57</v>
      </c>
      <c r="P47" s="79">
        <v>45848</v>
      </c>
    </row>
    <row r="48" spans="1:17" x14ac:dyDescent="0.25">
      <c r="A48" t="s">
        <v>224</v>
      </c>
      <c r="B48" s="5" t="s">
        <v>225</v>
      </c>
      <c r="C48" s="21">
        <v>101663617</v>
      </c>
      <c r="D48" s="21" t="s">
        <v>226</v>
      </c>
      <c r="E48" t="s">
        <v>209</v>
      </c>
      <c r="F48" t="s">
        <v>210</v>
      </c>
      <c r="G48" t="s">
        <v>210</v>
      </c>
      <c r="H48" s="32">
        <v>45824</v>
      </c>
      <c r="I48" s="21" t="s">
        <v>72</v>
      </c>
      <c r="J48" s="21" t="s">
        <v>227</v>
      </c>
      <c r="L48" s="32">
        <v>45825</v>
      </c>
      <c r="M48" s="21">
        <v>101663617</v>
      </c>
      <c r="N48" s="32">
        <v>45976</v>
      </c>
      <c r="O48" s="21" t="s">
        <v>57</v>
      </c>
      <c r="P48" s="79">
        <v>45880</v>
      </c>
    </row>
    <row r="49" spans="1:16" x14ac:dyDescent="0.25">
      <c r="A49" t="s">
        <v>228</v>
      </c>
      <c r="B49" s="5" t="s">
        <v>229</v>
      </c>
      <c r="C49" s="21">
        <v>101664190</v>
      </c>
      <c r="D49" s="21" t="s">
        <v>230</v>
      </c>
      <c r="E49" t="s">
        <v>231</v>
      </c>
      <c r="F49" t="s">
        <v>232</v>
      </c>
      <c r="G49" t="s">
        <v>232</v>
      </c>
      <c r="H49" s="32">
        <v>45845</v>
      </c>
      <c r="I49" s="21" t="s">
        <v>55</v>
      </c>
      <c r="J49" s="21" t="s">
        <v>56</v>
      </c>
      <c r="L49" s="32">
        <v>45847</v>
      </c>
      <c r="M49" s="21">
        <v>101664190</v>
      </c>
      <c r="N49" s="21" t="s">
        <v>127</v>
      </c>
      <c r="O49" s="21" t="s">
        <v>57</v>
      </c>
      <c r="P49" s="79">
        <v>45884</v>
      </c>
    </row>
    <row r="50" spans="1:16" x14ac:dyDescent="0.25">
      <c r="A50" t="s">
        <v>233</v>
      </c>
      <c r="B50" s="5" t="s">
        <v>234</v>
      </c>
      <c r="C50" s="21">
        <v>101669383</v>
      </c>
      <c r="D50" s="21" t="s">
        <v>235</v>
      </c>
      <c r="E50" t="s">
        <v>231</v>
      </c>
      <c r="F50" t="s">
        <v>232</v>
      </c>
      <c r="G50" t="s">
        <v>232</v>
      </c>
      <c r="H50" s="32">
        <v>45845</v>
      </c>
      <c r="I50" s="21" t="s">
        <v>116</v>
      </c>
      <c r="J50" s="21" t="s">
        <v>227</v>
      </c>
      <c r="K50" s="6"/>
      <c r="L50" s="32">
        <v>45847</v>
      </c>
      <c r="M50" s="21">
        <v>101669383</v>
      </c>
      <c r="N50" s="32">
        <v>45936</v>
      </c>
      <c r="O50" s="21" t="s">
        <v>103</v>
      </c>
      <c r="P50" s="79">
        <v>45880</v>
      </c>
    </row>
    <row r="51" spans="1:16" x14ac:dyDescent="0.25">
      <c r="A51" t="s">
        <v>236</v>
      </c>
      <c r="B51" s="5" t="s">
        <v>237</v>
      </c>
      <c r="C51" s="21">
        <v>101669389</v>
      </c>
      <c r="D51" s="21" t="s">
        <v>238</v>
      </c>
      <c r="E51" t="s">
        <v>231</v>
      </c>
      <c r="F51" t="s">
        <v>232</v>
      </c>
      <c r="G51" t="s">
        <v>232</v>
      </c>
      <c r="H51" s="32">
        <v>45845</v>
      </c>
      <c r="I51" s="21" t="s">
        <v>55</v>
      </c>
      <c r="J51" s="21" t="s">
        <v>94</v>
      </c>
      <c r="L51" s="32">
        <v>45847</v>
      </c>
      <c r="M51" s="21">
        <v>101669389</v>
      </c>
      <c r="N51" s="32">
        <v>45976</v>
      </c>
      <c r="O51" s="21" t="s">
        <v>57</v>
      </c>
      <c r="P51" s="79">
        <v>45895</v>
      </c>
    </row>
    <row r="52" spans="1:16" x14ac:dyDescent="0.25">
      <c r="A52" t="s">
        <v>239</v>
      </c>
      <c r="B52" s="5" t="s">
        <v>240</v>
      </c>
      <c r="C52" s="21">
        <v>101669712</v>
      </c>
      <c r="D52" s="21" t="s">
        <v>241</v>
      </c>
      <c r="E52" t="s">
        <v>242</v>
      </c>
      <c r="F52" t="s">
        <v>243</v>
      </c>
      <c r="G52" t="s">
        <v>243</v>
      </c>
      <c r="H52" s="32">
        <v>45873</v>
      </c>
      <c r="I52" s="21" t="s">
        <v>72</v>
      </c>
      <c r="J52" s="21" t="s">
        <v>227</v>
      </c>
      <c r="L52" s="32">
        <v>45875</v>
      </c>
      <c r="M52" s="21">
        <v>101669712</v>
      </c>
      <c r="N52" s="21" t="s">
        <v>127</v>
      </c>
      <c r="O52" s="21" t="s">
        <v>57</v>
      </c>
      <c r="P52" s="93">
        <v>45943</v>
      </c>
    </row>
    <row r="53" spans="1:16" x14ac:dyDescent="0.25">
      <c r="A53" t="s">
        <v>244</v>
      </c>
      <c r="B53" s="5" t="s">
        <v>245</v>
      </c>
      <c r="C53" s="21">
        <v>101669733</v>
      </c>
      <c r="D53" s="21" t="s">
        <v>246</v>
      </c>
      <c r="E53" t="s">
        <v>231</v>
      </c>
      <c r="F53" t="s">
        <v>232</v>
      </c>
      <c r="G53" t="s">
        <v>232</v>
      </c>
      <c r="H53" s="32">
        <v>45845</v>
      </c>
      <c r="I53" s="21" t="s">
        <v>55</v>
      </c>
      <c r="J53" s="21" t="s">
        <v>227</v>
      </c>
      <c r="L53" s="32">
        <v>45847</v>
      </c>
      <c r="M53" s="21">
        <v>101669733</v>
      </c>
      <c r="N53" s="32">
        <v>45922</v>
      </c>
      <c r="O53" s="21" t="s">
        <v>57</v>
      </c>
      <c r="P53" s="79">
        <v>45880</v>
      </c>
    </row>
    <row r="54" spans="1:16" x14ac:dyDescent="0.25">
      <c r="A54" t="s">
        <v>247</v>
      </c>
      <c r="B54" s="5" t="s">
        <v>248</v>
      </c>
      <c r="C54" s="21">
        <v>101676507</v>
      </c>
      <c r="D54" s="25" t="s">
        <v>249</v>
      </c>
      <c r="E54" t="s">
        <v>242</v>
      </c>
      <c r="F54" t="s">
        <v>243</v>
      </c>
      <c r="G54" t="s">
        <v>243</v>
      </c>
      <c r="H54" s="32">
        <v>45873</v>
      </c>
      <c r="I54" s="21" t="s">
        <v>250</v>
      </c>
      <c r="J54" s="21" t="s">
        <v>94</v>
      </c>
      <c r="L54" s="32">
        <v>45875</v>
      </c>
      <c r="M54" s="21">
        <v>101676507</v>
      </c>
      <c r="N54" s="32">
        <v>46009</v>
      </c>
      <c r="O54" s="21" t="s">
        <v>57</v>
      </c>
      <c r="P54" s="93">
        <v>45943</v>
      </c>
    </row>
    <row r="55" spans="1:16" x14ac:dyDescent="0.25">
      <c r="A55" t="s">
        <v>251</v>
      </c>
      <c r="B55" s="5" t="s">
        <v>252</v>
      </c>
      <c r="C55" s="21">
        <v>101676514</v>
      </c>
      <c r="D55" s="21" t="s">
        <v>253</v>
      </c>
      <c r="E55" t="s">
        <v>254</v>
      </c>
      <c r="F55" t="s">
        <v>255</v>
      </c>
      <c r="G55" t="s">
        <v>255</v>
      </c>
      <c r="H55" s="32">
        <v>45901</v>
      </c>
      <c r="I55" s="36" t="s">
        <v>116</v>
      </c>
      <c r="J55" s="21" t="s">
        <v>94</v>
      </c>
      <c r="L55" s="32">
        <v>45903</v>
      </c>
      <c r="M55" s="21">
        <v>101676514</v>
      </c>
      <c r="N55" s="21" t="s">
        <v>127</v>
      </c>
      <c r="O55" s="21" t="s">
        <v>57</v>
      </c>
      <c r="P55" s="93">
        <v>45943</v>
      </c>
    </row>
    <row r="56" spans="1:16" x14ac:dyDescent="0.25">
      <c r="A56" t="s">
        <v>256</v>
      </c>
      <c r="B56" s="5" t="s">
        <v>257</v>
      </c>
      <c r="C56" s="21">
        <v>101676517</v>
      </c>
      <c r="D56" s="29" t="s">
        <v>258</v>
      </c>
      <c r="E56" t="s">
        <v>254</v>
      </c>
      <c r="F56" t="s">
        <v>255</v>
      </c>
      <c r="G56" t="s">
        <v>255</v>
      </c>
      <c r="H56" s="32">
        <v>45901</v>
      </c>
      <c r="I56" s="21" t="s">
        <v>116</v>
      </c>
      <c r="J56" s="21" t="s">
        <v>94</v>
      </c>
      <c r="L56" s="32">
        <v>45903</v>
      </c>
      <c r="M56" s="21">
        <v>101676517</v>
      </c>
      <c r="N56" s="21" t="s">
        <v>127</v>
      </c>
      <c r="O56" s="21" t="s">
        <v>57</v>
      </c>
      <c r="P56" s="79">
        <v>45943</v>
      </c>
    </row>
    <row r="57" spans="1:16" x14ac:dyDescent="0.25">
      <c r="A57" t="s">
        <v>259</v>
      </c>
      <c r="B57" s="5" t="s">
        <v>260</v>
      </c>
      <c r="C57" s="21">
        <v>101683653</v>
      </c>
      <c r="D57" s="21" t="s">
        <v>261</v>
      </c>
      <c r="E57" t="s">
        <v>254</v>
      </c>
      <c r="F57" t="s">
        <v>255</v>
      </c>
      <c r="G57" t="s">
        <v>255</v>
      </c>
      <c r="H57" s="32">
        <v>45901</v>
      </c>
      <c r="I57" s="21" t="s">
        <v>250</v>
      </c>
      <c r="J57" s="21" t="s">
        <v>227</v>
      </c>
      <c r="L57" s="32">
        <v>45903</v>
      </c>
      <c r="M57" s="21">
        <v>101683653</v>
      </c>
      <c r="N57" s="32">
        <v>45985</v>
      </c>
      <c r="O57" s="21" t="s">
        <v>57</v>
      </c>
      <c r="P57" s="93">
        <v>45943</v>
      </c>
    </row>
    <row r="58" spans="1:16" x14ac:dyDescent="0.25">
      <c r="A58" t="s">
        <v>262</v>
      </c>
      <c r="B58" s="5" t="s">
        <v>263</v>
      </c>
      <c r="C58" s="40">
        <v>101688371</v>
      </c>
      <c r="D58" s="24" t="s">
        <v>264</v>
      </c>
      <c r="E58" t="s">
        <v>254</v>
      </c>
      <c r="F58" t="s">
        <v>255</v>
      </c>
      <c r="G58" t="s">
        <v>255</v>
      </c>
      <c r="H58" s="32">
        <v>45901</v>
      </c>
      <c r="I58" s="21" t="s">
        <v>72</v>
      </c>
      <c r="J58" s="21" t="s">
        <v>227</v>
      </c>
      <c r="L58" s="34">
        <v>45903</v>
      </c>
      <c r="M58" s="40">
        <v>101688371</v>
      </c>
      <c r="N58" s="25" t="s">
        <v>127</v>
      </c>
      <c r="O58" s="21" t="s">
        <v>57</v>
      </c>
      <c r="P58" s="79">
        <v>45943</v>
      </c>
    </row>
    <row r="59" spans="1:16" x14ac:dyDescent="0.25">
      <c r="A59" t="s">
        <v>265</v>
      </c>
      <c r="B59" s="5" t="s">
        <v>266</v>
      </c>
      <c r="C59" s="21">
        <v>101693426</v>
      </c>
      <c r="D59" s="21" t="s">
        <v>267</v>
      </c>
      <c r="E59" t="s">
        <v>268</v>
      </c>
      <c r="F59" t="s">
        <v>269</v>
      </c>
      <c r="G59" t="s">
        <v>269</v>
      </c>
      <c r="H59" s="32">
        <v>45936</v>
      </c>
      <c r="I59" s="37" t="s">
        <v>72</v>
      </c>
      <c r="J59" s="21" t="s">
        <v>94</v>
      </c>
      <c r="L59" s="32">
        <v>45938</v>
      </c>
      <c r="M59" s="21">
        <v>101693426</v>
      </c>
      <c r="N59" s="21" t="s">
        <v>127</v>
      </c>
      <c r="O59" s="21" t="s">
        <v>57</v>
      </c>
      <c r="P59" s="79">
        <v>46031</v>
      </c>
    </row>
    <row r="60" spans="1:16" x14ac:dyDescent="0.25">
      <c r="A60" t="s">
        <v>270</v>
      </c>
      <c r="B60" s="5" t="s">
        <v>271</v>
      </c>
      <c r="C60" s="25">
        <v>101704214</v>
      </c>
      <c r="D60" s="21" t="s">
        <v>272</v>
      </c>
      <c r="E60" t="s">
        <v>268</v>
      </c>
      <c r="F60" t="s">
        <v>269</v>
      </c>
      <c r="G60" t="s">
        <v>269</v>
      </c>
      <c r="H60" s="34">
        <v>45936</v>
      </c>
      <c r="I60" s="37" t="s">
        <v>72</v>
      </c>
      <c r="J60" s="21" t="s">
        <v>94</v>
      </c>
      <c r="L60" s="32">
        <v>45938</v>
      </c>
      <c r="M60" s="25">
        <v>101704214</v>
      </c>
      <c r="N60" s="25" t="s">
        <v>127</v>
      </c>
      <c r="O60" s="21" t="s">
        <v>57</v>
      </c>
      <c r="P60" s="79">
        <v>46031</v>
      </c>
    </row>
    <row r="61" spans="1:16" x14ac:dyDescent="0.25">
      <c r="A61" t="s">
        <v>273</v>
      </c>
      <c r="B61" s="5" t="s">
        <v>274</v>
      </c>
      <c r="C61" s="25">
        <v>101704297</v>
      </c>
      <c r="D61" s="25" t="s">
        <v>275</v>
      </c>
      <c r="E61" t="s">
        <v>268</v>
      </c>
      <c r="F61" t="s">
        <v>269</v>
      </c>
      <c r="G61" t="s">
        <v>269</v>
      </c>
      <c r="H61" s="32">
        <v>45936</v>
      </c>
      <c r="I61" s="37" t="s">
        <v>72</v>
      </c>
      <c r="J61" s="21" t="s">
        <v>227</v>
      </c>
      <c r="L61" s="34">
        <v>45938</v>
      </c>
      <c r="M61" s="25">
        <v>101704297</v>
      </c>
      <c r="N61" s="25" t="s">
        <v>127</v>
      </c>
      <c r="O61" s="21" t="s">
        <v>57</v>
      </c>
      <c r="P61" s="79">
        <v>46031</v>
      </c>
    </row>
    <row r="62" spans="1:16" x14ac:dyDescent="0.25">
      <c r="A62" t="s">
        <v>276</v>
      </c>
      <c r="B62" s="5" t="s">
        <v>277</v>
      </c>
      <c r="C62" s="25">
        <v>101707086</v>
      </c>
      <c r="D62" s="21" t="s">
        <v>278</v>
      </c>
      <c r="E62" t="s">
        <v>279</v>
      </c>
      <c r="F62" t="s">
        <v>280</v>
      </c>
      <c r="G62" t="s">
        <v>280</v>
      </c>
      <c r="H62" s="32">
        <v>45992</v>
      </c>
      <c r="I62" s="38" t="s">
        <v>250</v>
      </c>
      <c r="J62" s="28" t="s">
        <v>56</v>
      </c>
      <c r="L62" s="34">
        <v>45994</v>
      </c>
      <c r="M62" s="25">
        <v>101707086</v>
      </c>
      <c r="N62" s="34">
        <v>46035</v>
      </c>
      <c r="O62" s="21" t="s">
        <v>57</v>
      </c>
      <c r="P62" s="79">
        <v>46031</v>
      </c>
    </row>
    <row r="63" spans="1:16" x14ac:dyDescent="0.25">
      <c r="A63" t="s">
        <v>281</v>
      </c>
      <c r="B63" s="5" t="s">
        <v>282</v>
      </c>
      <c r="C63" s="25">
        <v>101708475</v>
      </c>
      <c r="D63" s="21" t="s">
        <v>283</v>
      </c>
      <c r="E63" t="s">
        <v>268</v>
      </c>
      <c r="F63" t="s">
        <v>269</v>
      </c>
      <c r="G63" t="s">
        <v>269</v>
      </c>
      <c r="H63" s="32">
        <v>45936</v>
      </c>
      <c r="I63" s="38" t="s">
        <v>72</v>
      </c>
      <c r="J63" s="21" t="s">
        <v>94</v>
      </c>
      <c r="L63" s="34">
        <v>45938</v>
      </c>
      <c r="M63" s="25">
        <v>101708475</v>
      </c>
      <c r="N63" s="25" t="s">
        <v>127</v>
      </c>
      <c r="O63" s="21" t="s">
        <v>57</v>
      </c>
      <c r="P63" s="79">
        <v>46031</v>
      </c>
    </row>
    <row r="64" spans="1:16" x14ac:dyDescent="0.25">
      <c r="A64" t="s">
        <v>284</v>
      </c>
      <c r="B64" s="5" t="s">
        <v>285</v>
      </c>
      <c r="C64" s="25">
        <v>101713721</v>
      </c>
      <c r="D64" s="28" t="s">
        <v>286</v>
      </c>
      <c r="E64" t="s">
        <v>287</v>
      </c>
      <c r="F64" t="s">
        <v>288</v>
      </c>
      <c r="G64" t="s">
        <v>288</v>
      </c>
      <c r="H64" s="32">
        <v>45964</v>
      </c>
      <c r="I64" s="38" t="s">
        <v>72</v>
      </c>
      <c r="J64" s="21" t="s">
        <v>126</v>
      </c>
      <c r="L64" s="34">
        <v>45966</v>
      </c>
      <c r="M64" s="25">
        <v>101713721</v>
      </c>
      <c r="N64" s="25" t="s">
        <v>127</v>
      </c>
      <c r="O64" s="21" t="s">
        <v>57</v>
      </c>
      <c r="P64" s="79">
        <v>46031</v>
      </c>
    </row>
    <row r="65" spans="1:16" x14ac:dyDescent="0.25">
      <c r="A65" t="s">
        <v>289</v>
      </c>
      <c r="B65" s="5" t="s">
        <v>290</v>
      </c>
      <c r="C65" s="25">
        <v>101713722</v>
      </c>
      <c r="D65" s="28" t="s">
        <v>291</v>
      </c>
      <c r="E65" t="s">
        <v>287</v>
      </c>
      <c r="F65" t="s">
        <v>288</v>
      </c>
      <c r="G65" t="s">
        <v>288</v>
      </c>
      <c r="H65" s="32">
        <v>45964</v>
      </c>
      <c r="I65" s="30" t="s">
        <v>72</v>
      </c>
      <c r="J65" s="21" t="s">
        <v>159</v>
      </c>
      <c r="L65" s="34">
        <v>45966</v>
      </c>
      <c r="M65" s="25">
        <v>101713722</v>
      </c>
      <c r="N65" s="25" t="s">
        <v>127</v>
      </c>
      <c r="O65" s="21" t="s">
        <v>57</v>
      </c>
      <c r="P65" s="79">
        <v>46031</v>
      </c>
    </row>
    <row r="66" spans="1:16" x14ac:dyDescent="0.25">
      <c r="A66" t="s">
        <v>292</v>
      </c>
      <c r="B66" s="5" t="s">
        <v>293</v>
      </c>
      <c r="C66" s="25">
        <v>101715304</v>
      </c>
      <c r="D66" s="42" t="s">
        <v>294</v>
      </c>
      <c r="E66" t="s">
        <v>279</v>
      </c>
      <c r="F66" t="s">
        <v>280</v>
      </c>
      <c r="G66" t="s">
        <v>280</v>
      </c>
      <c r="H66" s="32">
        <v>45992</v>
      </c>
      <c r="I66" s="25" t="s">
        <v>72</v>
      </c>
      <c r="J66" s="21" t="s">
        <v>56</v>
      </c>
      <c r="K66" s="6"/>
      <c r="L66" s="34">
        <v>45994</v>
      </c>
      <c r="M66" s="25">
        <v>101715304</v>
      </c>
      <c r="N66" s="25" t="s">
        <v>127</v>
      </c>
      <c r="O66" s="21" t="s">
        <v>103</v>
      </c>
      <c r="P66" s="79">
        <v>46037</v>
      </c>
    </row>
    <row r="67" spans="1:16" x14ac:dyDescent="0.25">
      <c r="A67" t="s">
        <v>295</v>
      </c>
      <c r="B67" s="5" t="s">
        <v>296</v>
      </c>
      <c r="C67" s="26">
        <v>101716293</v>
      </c>
      <c r="D67" s="41" t="s">
        <v>297</v>
      </c>
      <c r="E67" t="s">
        <v>287</v>
      </c>
      <c r="F67" t="s">
        <v>288</v>
      </c>
      <c r="G67" t="s">
        <v>288</v>
      </c>
      <c r="H67" s="32">
        <v>45964</v>
      </c>
      <c r="I67" s="25" t="s">
        <v>72</v>
      </c>
      <c r="J67" s="21" t="s">
        <v>159</v>
      </c>
      <c r="L67" s="34">
        <v>45966</v>
      </c>
      <c r="M67" s="26">
        <v>101716293</v>
      </c>
      <c r="N67" s="25" t="s">
        <v>127</v>
      </c>
      <c r="O67" s="21" t="s">
        <v>57</v>
      </c>
      <c r="P67" s="79">
        <v>46031</v>
      </c>
    </row>
    <row r="68" spans="1:16" x14ac:dyDescent="0.25">
      <c r="A68" t="s">
        <v>298</v>
      </c>
      <c r="B68" s="5" t="s">
        <v>299</v>
      </c>
      <c r="C68" s="39">
        <v>101716294</v>
      </c>
      <c r="D68" s="21" t="s">
        <v>300</v>
      </c>
      <c r="E68" t="s">
        <v>287</v>
      </c>
      <c r="F68" t="s">
        <v>288</v>
      </c>
      <c r="G68" t="s">
        <v>288</v>
      </c>
      <c r="H68" s="32">
        <v>45964</v>
      </c>
      <c r="I68" s="30" t="s">
        <v>72</v>
      </c>
      <c r="J68" s="21" t="s">
        <v>159</v>
      </c>
      <c r="L68" s="34">
        <v>45966</v>
      </c>
      <c r="M68" s="39">
        <v>101716294</v>
      </c>
      <c r="N68" s="25" t="s">
        <v>127</v>
      </c>
      <c r="O68" s="21" t="s">
        <v>57</v>
      </c>
      <c r="P68" s="93">
        <v>46031</v>
      </c>
    </row>
    <row r="69" spans="1:16" x14ac:dyDescent="0.25">
      <c r="A69" t="s">
        <v>301</v>
      </c>
      <c r="B69" s="5" t="s">
        <v>302</v>
      </c>
      <c r="C69" s="21">
        <v>101720296</v>
      </c>
      <c r="D69" s="21" t="s">
        <v>303</v>
      </c>
      <c r="E69" t="s">
        <v>287</v>
      </c>
      <c r="F69" t="s">
        <v>288</v>
      </c>
      <c r="G69" t="s">
        <v>288</v>
      </c>
      <c r="H69" s="32">
        <v>45964</v>
      </c>
      <c r="I69" s="30" t="s">
        <v>72</v>
      </c>
      <c r="J69" s="21" t="s">
        <v>126</v>
      </c>
      <c r="L69" s="34">
        <v>45966</v>
      </c>
      <c r="M69" s="21">
        <v>101720296</v>
      </c>
      <c r="N69" s="25" t="s">
        <v>127</v>
      </c>
      <c r="O69" s="21" t="s">
        <v>57</v>
      </c>
      <c r="P69" s="93">
        <v>46031</v>
      </c>
    </row>
    <row r="70" spans="1:16" x14ac:dyDescent="0.25">
      <c r="A70" t="s">
        <v>304</v>
      </c>
      <c r="B70" s="5" t="s">
        <v>305</v>
      </c>
      <c r="C70" s="21">
        <v>101722216</v>
      </c>
      <c r="D70" s="28" t="s">
        <v>306</v>
      </c>
      <c r="E70" t="s">
        <v>307</v>
      </c>
      <c r="F70" t="s">
        <v>308</v>
      </c>
      <c r="G70" t="s">
        <v>308</v>
      </c>
      <c r="H70" s="32">
        <v>45978</v>
      </c>
      <c r="I70" s="30" t="s">
        <v>72</v>
      </c>
      <c r="J70" s="21" t="s">
        <v>126</v>
      </c>
      <c r="L70" s="32">
        <v>45981</v>
      </c>
      <c r="M70" s="21">
        <v>101722216</v>
      </c>
      <c r="N70" s="21" t="s">
        <v>127</v>
      </c>
      <c r="O70" s="21" t="s">
        <v>57</v>
      </c>
      <c r="P70" s="79">
        <v>46037</v>
      </c>
    </row>
    <row r="71" spans="1:16" x14ac:dyDescent="0.25">
      <c r="A71" t="s">
        <v>309</v>
      </c>
      <c r="B71" s="5" t="s">
        <v>310</v>
      </c>
      <c r="C71" s="21">
        <v>101724736</v>
      </c>
      <c r="D71" s="21" t="s">
        <v>311</v>
      </c>
      <c r="E71" t="s">
        <v>312</v>
      </c>
      <c r="F71" t="s">
        <v>313</v>
      </c>
      <c r="G71" t="s">
        <v>313</v>
      </c>
      <c r="H71" s="32">
        <v>46000</v>
      </c>
      <c r="I71" s="30" t="s">
        <v>55</v>
      </c>
      <c r="J71" s="25" t="s">
        <v>94</v>
      </c>
      <c r="L71" s="34">
        <v>46003</v>
      </c>
      <c r="M71" s="21">
        <v>101724736</v>
      </c>
      <c r="N71" s="25" t="s">
        <v>127</v>
      </c>
      <c r="O71" s="21" t="s">
        <v>57</v>
      </c>
      <c r="P71" s="93">
        <v>46037</v>
      </c>
    </row>
    <row r="72" spans="1:16" x14ac:dyDescent="0.25">
      <c r="A72" t="s">
        <v>314</v>
      </c>
      <c r="B72" s="5" t="s">
        <v>315</v>
      </c>
      <c r="C72" s="23">
        <v>101792304</v>
      </c>
      <c r="D72" s="21" t="s">
        <v>316</v>
      </c>
      <c r="E72" t="s">
        <v>317</v>
      </c>
      <c r="F72" t="s">
        <v>318</v>
      </c>
      <c r="G72" t="s">
        <v>318</v>
      </c>
      <c r="H72" s="33">
        <v>46195</v>
      </c>
      <c r="I72" s="21" t="s">
        <v>72</v>
      </c>
      <c r="J72" s="21" t="s">
        <v>56</v>
      </c>
      <c r="L72" s="33">
        <v>46195</v>
      </c>
      <c r="M72" s="23">
        <v>101792304</v>
      </c>
      <c r="N72" s="23" t="s">
        <v>127</v>
      </c>
      <c r="O72" s="21" t="s">
        <v>57</v>
      </c>
      <c r="P72" s="94"/>
    </row>
    <row r="73" spans="1:16" x14ac:dyDescent="0.25">
      <c r="A73" t="s">
        <v>319</v>
      </c>
      <c r="B73" s="5" t="s">
        <v>320</v>
      </c>
      <c r="C73" s="23">
        <v>101794084</v>
      </c>
      <c r="D73" s="21" t="s">
        <v>321</v>
      </c>
      <c r="E73" t="s">
        <v>317</v>
      </c>
      <c r="F73" t="s">
        <v>318</v>
      </c>
      <c r="G73" t="s">
        <v>318</v>
      </c>
      <c r="H73" s="33">
        <v>46195</v>
      </c>
      <c r="I73" s="21" t="s">
        <v>55</v>
      </c>
      <c r="J73" s="21" t="s">
        <v>159</v>
      </c>
      <c r="K73" s="6"/>
      <c r="L73" s="33">
        <v>46195</v>
      </c>
      <c r="M73" s="23">
        <v>101794084</v>
      </c>
      <c r="N73" s="23" t="s">
        <v>127</v>
      </c>
      <c r="O73" s="21" t="s">
        <v>322</v>
      </c>
      <c r="P73" s="94"/>
    </row>
    <row r="74" spans="1:16" x14ac:dyDescent="0.25">
      <c r="A74" t="s">
        <v>323</v>
      </c>
      <c r="B74" s="5" t="s">
        <v>324</v>
      </c>
      <c r="C74" s="21">
        <v>101794086</v>
      </c>
      <c r="D74" s="21" t="s">
        <v>325</v>
      </c>
      <c r="E74" t="s">
        <v>326</v>
      </c>
      <c r="F74" t="s">
        <v>327</v>
      </c>
      <c r="G74" t="s">
        <v>327</v>
      </c>
      <c r="H74" s="32">
        <v>46209</v>
      </c>
      <c r="I74" s="21" t="s">
        <v>55</v>
      </c>
      <c r="J74" s="21" t="s">
        <v>159</v>
      </c>
      <c r="L74" s="32">
        <v>46209</v>
      </c>
      <c r="M74" s="21">
        <v>101794086</v>
      </c>
      <c r="N74" s="21" t="s">
        <v>127</v>
      </c>
      <c r="O74" s="21" t="s">
        <v>82</v>
      </c>
      <c r="P74" s="94"/>
    </row>
    <row r="75" spans="1:16" x14ac:dyDescent="0.25">
      <c r="A75" t="s">
        <v>328</v>
      </c>
      <c r="B75" s="5" t="s">
        <v>329</v>
      </c>
      <c r="C75" s="21">
        <v>101794675</v>
      </c>
      <c r="D75" s="21" t="s">
        <v>330</v>
      </c>
      <c r="E75" t="s">
        <v>326</v>
      </c>
      <c r="F75" t="s">
        <v>327</v>
      </c>
      <c r="G75" t="s">
        <v>327</v>
      </c>
      <c r="H75" s="32">
        <v>46209</v>
      </c>
      <c r="I75" s="21" t="s">
        <v>116</v>
      </c>
      <c r="J75" s="21" t="s">
        <v>159</v>
      </c>
      <c r="L75" s="32">
        <v>46209</v>
      </c>
      <c r="M75" s="21">
        <v>101794675</v>
      </c>
      <c r="N75" s="21" t="s">
        <v>127</v>
      </c>
      <c r="O75" s="21" t="s">
        <v>57</v>
      </c>
      <c r="P75" s="94"/>
    </row>
    <row r="76" spans="1:16" x14ac:dyDescent="0.25">
      <c r="A76" t="s">
        <v>331</v>
      </c>
      <c r="B76" s="5" t="s">
        <v>332</v>
      </c>
      <c r="C76" s="21">
        <v>101797482</v>
      </c>
      <c r="D76" s="21" t="s">
        <v>333</v>
      </c>
      <c r="E76" t="s">
        <v>326</v>
      </c>
      <c r="F76" t="s">
        <v>327</v>
      </c>
      <c r="G76" t="s">
        <v>327</v>
      </c>
      <c r="H76" s="32">
        <v>46209</v>
      </c>
      <c r="I76" s="21" t="s">
        <v>55</v>
      </c>
      <c r="J76" s="21" t="s">
        <v>94</v>
      </c>
      <c r="L76" s="32">
        <v>46209</v>
      </c>
      <c r="M76" s="21">
        <v>101797482</v>
      </c>
      <c r="N76" s="21" t="s">
        <v>127</v>
      </c>
      <c r="O76" s="21" t="s">
        <v>322</v>
      </c>
      <c r="P76" s="94"/>
    </row>
    <row r="77" spans="1:16" x14ac:dyDescent="0.25">
      <c r="A77" t="s">
        <v>334</v>
      </c>
      <c r="B77" s="5" t="s">
        <v>335</v>
      </c>
      <c r="C77" s="21">
        <v>101797484</v>
      </c>
      <c r="D77" s="21" t="s">
        <v>336</v>
      </c>
      <c r="E77" t="s">
        <v>326</v>
      </c>
      <c r="F77" t="s">
        <v>327</v>
      </c>
      <c r="G77" t="s">
        <v>327</v>
      </c>
      <c r="H77" s="32">
        <v>46209</v>
      </c>
      <c r="I77" s="21" t="s">
        <v>72</v>
      </c>
      <c r="J77" s="21" t="s">
        <v>94</v>
      </c>
      <c r="L77" s="32">
        <v>46209</v>
      </c>
      <c r="M77" s="21">
        <v>101797484</v>
      </c>
      <c r="N77" s="21" t="s">
        <v>127</v>
      </c>
      <c r="O77" s="21" t="s">
        <v>57</v>
      </c>
    </row>
    <row r="78" spans="1:16" x14ac:dyDescent="0.25">
      <c r="A78" t="s">
        <v>337</v>
      </c>
      <c r="B78" s="5" t="s">
        <v>338</v>
      </c>
      <c r="C78" s="21">
        <v>101798394</v>
      </c>
      <c r="D78" s="21" t="s">
        <v>339</v>
      </c>
      <c r="E78" t="s">
        <v>340</v>
      </c>
      <c r="F78" t="s">
        <v>341</v>
      </c>
      <c r="G78" t="s">
        <v>341</v>
      </c>
      <c r="H78" s="32">
        <v>46223</v>
      </c>
      <c r="I78" s="21" t="s">
        <v>55</v>
      </c>
      <c r="J78" s="21" t="s">
        <v>56</v>
      </c>
      <c r="L78" s="21" t="s">
        <v>127</v>
      </c>
      <c r="M78" s="21">
        <v>101798394</v>
      </c>
      <c r="N78" s="21" t="s">
        <v>127</v>
      </c>
      <c r="O78" s="21" t="s">
        <v>57</v>
      </c>
      <c r="P78" s="92"/>
    </row>
    <row r="79" spans="1:16" x14ac:dyDescent="0.25">
      <c r="A79" t="s">
        <v>342</v>
      </c>
      <c r="B79" s="5" t="s">
        <v>343</v>
      </c>
      <c r="C79" s="21">
        <v>101798396</v>
      </c>
      <c r="D79" s="21" t="s">
        <v>344</v>
      </c>
      <c r="E79" t="s">
        <v>340</v>
      </c>
      <c r="F79" t="s">
        <v>341</v>
      </c>
      <c r="G79" t="s">
        <v>341</v>
      </c>
      <c r="H79" s="32">
        <v>46223</v>
      </c>
      <c r="I79" s="21" t="s">
        <v>345</v>
      </c>
      <c r="J79" s="21" t="s">
        <v>159</v>
      </c>
      <c r="L79" s="21" t="s">
        <v>127</v>
      </c>
      <c r="M79" s="21">
        <v>101798396</v>
      </c>
      <c r="N79" s="21" t="s">
        <v>127</v>
      </c>
      <c r="O79" s="21" t="s">
        <v>322</v>
      </c>
      <c r="P79" s="94"/>
    </row>
    <row r="80" spans="1:16" x14ac:dyDescent="0.25">
      <c r="A80" t="s">
        <v>346</v>
      </c>
      <c r="B80" s="5" t="s">
        <v>347</v>
      </c>
      <c r="C80" s="21">
        <v>101799945</v>
      </c>
      <c r="D80" s="21" t="s">
        <v>348</v>
      </c>
      <c r="E80" t="s">
        <v>340</v>
      </c>
      <c r="F80" t="s">
        <v>341</v>
      </c>
      <c r="G80" t="s">
        <v>341</v>
      </c>
      <c r="H80" s="32">
        <v>46223</v>
      </c>
      <c r="I80" s="21" t="s">
        <v>72</v>
      </c>
      <c r="J80" s="21" t="s">
        <v>94</v>
      </c>
      <c r="L80" s="21" t="s">
        <v>127</v>
      </c>
      <c r="M80" s="21">
        <v>101799945</v>
      </c>
      <c r="N80" s="21" t="s">
        <v>127</v>
      </c>
      <c r="O80" s="21" t="s">
        <v>57</v>
      </c>
      <c r="P80" s="94"/>
    </row>
    <row r="81" spans="1:16" x14ac:dyDescent="0.25">
      <c r="A81" t="s">
        <v>349</v>
      </c>
      <c r="B81" s="5" t="s">
        <v>350</v>
      </c>
      <c r="C81" s="21">
        <v>101801235</v>
      </c>
      <c r="D81" s="21" t="s">
        <v>351</v>
      </c>
      <c r="E81" t="s">
        <v>340</v>
      </c>
      <c r="F81" t="s">
        <v>341</v>
      </c>
      <c r="G81" t="s">
        <v>341</v>
      </c>
      <c r="H81" s="32">
        <v>46223</v>
      </c>
      <c r="I81" s="21" t="s">
        <v>345</v>
      </c>
      <c r="J81" s="21" t="s">
        <v>159</v>
      </c>
      <c r="L81" s="21" t="s">
        <v>127</v>
      </c>
      <c r="M81" s="21">
        <v>101801235</v>
      </c>
      <c r="N81" s="21" t="s">
        <v>127</v>
      </c>
      <c r="O81" s="21" t="s">
        <v>322</v>
      </c>
      <c r="P81" s="92"/>
    </row>
    <row r="82" spans="1:16" x14ac:dyDescent="0.25">
      <c r="A82" t="s">
        <v>352</v>
      </c>
      <c r="B82" s="5" t="s">
        <v>353</v>
      </c>
      <c r="C82" s="21">
        <v>101801814</v>
      </c>
      <c r="D82" s="21" t="s">
        <v>354</v>
      </c>
      <c r="E82" t="s">
        <v>355</v>
      </c>
      <c r="F82" t="s">
        <v>356</v>
      </c>
      <c r="G82" t="s">
        <v>356</v>
      </c>
      <c r="H82" s="32">
        <v>46237</v>
      </c>
      <c r="I82" s="21" t="s">
        <v>116</v>
      </c>
      <c r="J82" s="21" t="s">
        <v>159</v>
      </c>
      <c r="L82" s="21" t="s">
        <v>127</v>
      </c>
      <c r="M82" s="21">
        <v>101801814</v>
      </c>
      <c r="N82" s="21" t="s">
        <v>127</v>
      </c>
      <c r="O82" s="21" t="s">
        <v>322</v>
      </c>
      <c r="P82" s="92"/>
    </row>
    <row r="83" spans="1:16" x14ac:dyDescent="0.25">
      <c r="A83" t="s">
        <v>357</v>
      </c>
      <c r="B83" s="5" t="s">
        <v>358</v>
      </c>
      <c r="C83" s="21">
        <v>101801819</v>
      </c>
      <c r="D83" s="21" t="s">
        <v>359</v>
      </c>
      <c r="E83" t="s">
        <v>340</v>
      </c>
      <c r="F83" t="s">
        <v>341</v>
      </c>
      <c r="G83" t="s">
        <v>341</v>
      </c>
      <c r="H83" s="32">
        <v>46223</v>
      </c>
      <c r="I83" s="21" t="s">
        <v>72</v>
      </c>
      <c r="J83" s="21" t="s">
        <v>94</v>
      </c>
      <c r="L83" s="21" t="s">
        <v>127</v>
      </c>
      <c r="M83" s="21">
        <v>101801819</v>
      </c>
      <c r="N83" s="21" t="s">
        <v>127</v>
      </c>
      <c r="O83" s="21" t="s">
        <v>322</v>
      </c>
      <c r="P83" s="92"/>
    </row>
    <row r="84" spans="1:16" x14ac:dyDescent="0.25">
      <c r="A84" t="s">
        <v>360</v>
      </c>
      <c r="B84" s="5" t="s">
        <v>361</v>
      </c>
      <c r="C84" s="21">
        <v>101803924</v>
      </c>
      <c r="D84" s="21" t="s">
        <v>362</v>
      </c>
      <c r="E84" t="s">
        <v>355</v>
      </c>
      <c r="F84" t="s">
        <v>356</v>
      </c>
      <c r="G84" t="s">
        <v>356</v>
      </c>
      <c r="H84" s="32">
        <v>46237</v>
      </c>
      <c r="I84" s="21" t="s">
        <v>55</v>
      </c>
      <c r="J84" s="21" t="s">
        <v>159</v>
      </c>
      <c r="L84" s="21" t="s">
        <v>127</v>
      </c>
      <c r="M84" s="21">
        <v>101803924</v>
      </c>
      <c r="N84" s="21" t="s">
        <v>127</v>
      </c>
      <c r="O84" s="21" t="s">
        <v>322</v>
      </c>
      <c r="P84" s="92"/>
    </row>
    <row r="85" spans="1:16" x14ac:dyDescent="0.25">
      <c r="A85" t="s">
        <v>363</v>
      </c>
      <c r="B85" s="5" t="s">
        <v>364</v>
      </c>
      <c r="C85" s="21">
        <v>101804590</v>
      </c>
      <c r="D85" s="21" t="s">
        <v>365</v>
      </c>
      <c r="E85" t="s">
        <v>355</v>
      </c>
      <c r="F85" t="s">
        <v>356</v>
      </c>
      <c r="G85" t="s">
        <v>356</v>
      </c>
      <c r="H85" s="32">
        <v>46237</v>
      </c>
      <c r="I85" s="21" t="s">
        <v>55</v>
      </c>
      <c r="J85" s="21" t="s">
        <v>159</v>
      </c>
      <c r="L85" s="21" t="s">
        <v>127</v>
      </c>
      <c r="M85" s="21">
        <v>101804590</v>
      </c>
      <c r="N85" s="21" t="s">
        <v>127</v>
      </c>
      <c r="O85" s="21" t="s">
        <v>322</v>
      </c>
      <c r="P85" s="92"/>
    </row>
    <row r="86" spans="1:16" x14ac:dyDescent="0.25">
      <c r="A86" t="s">
        <v>366</v>
      </c>
      <c r="B86" s="5" t="s">
        <v>367</v>
      </c>
      <c r="C86" s="21">
        <v>101804626</v>
      </c>
      <c r="D86" s="21" t="s">
        <v>368</v>
      </c>
      <c r="E86" t="s">
        <v>355</v>
      </c>
      <c r="F86" t="s">
        <v>356</v>
      </c>
      <c r="G86" t="s">
        <v>356</v>
      </c>
      <c r="H86" s="32">
        <v>46237</v>
      </c>
      <c r="I86" s="21" t="s">
        <v>55</v>
      </c>
      <c r="J86" s="21" t="s">
        <v>94</v>
      </c>
      <c r="L86" s="21" t="s">
        <v>127</v>
      </c>
      <c r="M86" s="21">
        <v>101804626</v>
      </c>
      <c r="N86" s="21" t="s">
        <v>127</v>
      </c>
      <c r="O86" s="21" t="s">
        <v>322</v>
      </c>
      <c r="P86" s="92"/>
    </row>
    <row r="87" spans="1:16" x14ac:dyDescent="0.25">
      <c r="A87" t="s">
        <v>369</v>
      </c>
      <c r="B87" s="5" t="s">
        <v>370</v>
      </c>
      <c r="C87" s="21">
        <v>101807028</v>
      </c>
      <c r="D87" s="21" t="s">
        <v>371</v>
      </c>
      <c r="E87" t="s">
        <v>355</v>
      </c>
      <c r="F87" t="s">
        <v>356</v>
      </c>
      <c r="G87" t="s">
        <v>356</v>
      </c>
      <c r="H87" s="32">
        <v>46237</v>
      </c>
      <c r="I87" s="21" t="s">
        <v>55</v>
      </c>
      <c r="J87" s="21" t="s">
        <v>56</v>
      </c>
      <c r="L87" s="21" t="s">
        <v>127</v>
      </c>
      <c r="M87" s="21">
        <v>101807028</v>
      </c>
      <c r="N87" s="32">
        <v>46244</v>
      </c>
      <c r="O87" s="21" t="s">
        <v>57</v>
      </c>
      <c r="P87" s="92"/>
    </row>
    <row r="88" spans="1:16" x14ac:dyDescent="0.25">
      <c r="A88" t="s">
        <v>372</v>
      </c>
      <c r="B88" s="5" t="s">
        <v>373</v>
      </c>
      <c r="C88" s="21">
        <v>101810012</v>
      </c>
      <c r="D88" s="21" t="s">
        <v>374</v>
      </c>
      <c r="E88" t="s">
        <v>375</v>
      </c>
      <c r="F88" t="s">
        <v>376</v>
      </c>
      <c r="G88" t="s">
        <v>376</v>
      </c>
      <c r="H88" s="32">
        <v>46251</v>
      </c>
      <c r="I88" s="21" t="s">
        <v>55</v>
      </c>
      <c r="J88" s="21" t="s">
        <v>94</v>
      </c>
      <c r="L88" s="21" t="s">
        <v>127</v>
      </c>
      <c r="M88" s="21">
        <v>101810012</v>
      </c>
      <c r="N88" s="21" t="s">
        <v>127</v>
      </c>
      <c r="O88" s="21" t="s">
        <v>377</v>
      </c>
      <c r="P88" s="92"/>
    </row>
    <row r="89" spans="1:16" x14ac:dyDescent="0.25">
      <c r="A89" t="s">
        <v>378</v>
      </c>
      <c r="B89" s="5" t="s">
        <v>379</v>
      </c>
      <c r="C89" s="21">
        <v>101811476</v>
      </c>
      <c r="D89" s="21" t="s">
        <v>380</v>
      </c>
      <c r="E89" t="s">
        <v>375</v>
      </c>
      <c r="F89" t="s">
        <v>376</v>
      </c>
      <c r="G89" t="s">
        <v>376</v>
      </c>
      <c r="H89" s="32">
        <v>46251</v>
      </c>
      <c r="I89" s="21" t="s">
        <v>72</v>
      </c>
      <c r="J89" s="21" t="s">
        <v>94</v>
      </c>
      <c r="L89" s="21" t="s">
        <v>127</v>
      </c>
      <c r="M89" s="21">
        <v>101811476</v>
      </c>
      <c r="N89" s="21" t="s">
        <v>127</v>
      </c>
      <c r="O89" s="21" t="s">
        <v>377</v>
      </c>
      <c r="P89" s="92"/>
    </row>
    <row r="90" spans="1:16" x14ac:dyDescent="0.25">
      <c r="A90" t="s">
        <v>381</v>
      </c>
      <c r="B90" s="5" t="s">
        <v>382</v>
      </c>
      <c r="C90" s="21">
        <v>101812687</v>
      </c>
      <c r="D90" s="21" t="s">
        <v>383</v>
      </c>
      <c r="E90" t="s">
        <v>375</v>
      </c>
      <c r="F90" t="s">
        <v>376</v>
      </c>
      <c r="G90" t="s">
        <v>376</v>
      </c>
      <c r="H90" s="32">
        <v>46251</v>
      </c>
      <c r="I90" s="21" t="s">
        <v>345</v>
      </c>
      <c r="J90" s="21" t="s">
        <v>56</v>
      </c>
      <c r="L90" s="21" t="s">
        <v>127</v>
      </c>
      <c r="M90" s="21">
        <v>101812687</v>
      </c>
      <c r="N90" s="21" t="s">
        <v>127</v>
      </c>
      <c r="O90" s="21" t="s">
        <v>377</v>
      </c>
      <c r="P90" s="94"/>
    </row>
    <row r="91" spans="1:16" x14ac:dyDescent="0.25">
      <c r="A91" t="s">
        <v>384</v>
      </c>
      <c r="B91" s="5" t="s">
        <v>385</v>
      </c>
      <c r="C91" s="27">
        <v>101815123</v>
      </c>
      <c r="D91" s="31" t="s">
        <v>386</v>
      </c>
      <c r="E91" t="s">
        <v>387</v>
      </c>
      <c r="F91" t="s">
        <v>388</v>
      </c>
      <c r="G91" t="s">
        <v>388</v>
      </c>
      <c r="H91" s="35">
        <v>46272</v>
      </c>
      <c r="I91" s="23" t="s">
        <v>55</v>
      </c>
      <c r="J91" s="23" t="s">
        <v>94</v>
      </c>
      <c r="L91" s="27" t="s">
        <v>127</v>
      </c>
      <c r="M91" s="27">
        <v>101815123</v>
      </c>
      <c r="N91" s="27" t="s">
        <v>127</v>
      </c>
      <c r="O91" s="23" t="s">
        <v>377</v>
      </c>
      <c r="P91" s="92"/>
    </row>
  </sheetData>
  <autoFilter ref="A1:S91" xr:uid="{9056D009-2F53-47C3-A25B-40485B453116}">
    <sortState xmlns:xlrd2="http://schemas.microsoft.com/office/spreadsheetml/2017/richdata2" ref="A2:S91">
      <sortCondition ref="A1:A91"/>
    </sortState>
  </autoFilter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432DE-21E0-4B34-9D9B-065F3B000FB4}">
  <sheetPr filterMode="1"/>
  <dimension ref="A1:L142"/>
  <sheetViews>
    <sheetView workbookViewId="0">
      <selection activeCell="G47" sqref="G47"/>
    </sheetView>
  </sheetViews>
  <sheetFormatPr defaultColWidth="15.140625" defaultRowHeight="15" x14ac:dyDescent="0.25"/>
  <cols>
    <col min="1" max="1" width="10.140625" bestFit="1" customWidth="1"/>
    <col min="2" max="2" width="25.7109375" bestFit="1" customWidth="1"/>
    <col min="3" max="3" width="14.85546875" bestFit="1" customWidth="1"/>
    <col min="4" max="4" width="13.7109375" bestFit="1" customWidth="1"/>
    <col min="5" max="5" width="12.28515625" bestFit="1" customWidth="1"/>
    <col min="6" max="8" width="10.140625" bestFit="1" customWidth="1"/>
    <col min="9" max="9" width="7.42578125" bestFit="1" customWidth="1"/>
    <col min="10" max="10" width="9.42578125" bestFit="1" customWidth="1"/>
    <col min="11" max="11" width="16.42578125" bestFit="1" customWidth="1"/>
    <col min="12" max="12" width="20" bestFit="1" customWidth="1"/>
  </cols>
  <sheetData>
    <row r="1" spans="1:12" x14ac:dyDescent="0.25">
      <c r="A1" s="62" t="s">
        <v>389</v>
      </c>
      <c r="B1" s="63" t="s">
        <v>390</v>
      </c>
      <c r="C1" s="63" t="s">
        <v>391</v>
      </c>
      <c r="D1" s="63" t="s">
        <v>41</v>
      </c>
      <c r="E1" s="63" t="s">
        <v>392</v>
      </c>
      <c r="F1" s="63" t="s">
        <v>393</v>
      </c>
      <c r="G1" s="63" t="s">
        <v>394</v>
      </c>
      <c r="H1" s="63" t="s">
        <v>395</v>
      </c>
      <c r="I1" s="63" t="s">
        <v>396</v>
      </c>
      <c r="J1" s="63" t="s">
        <v>397</v>
      </c>
      <c r="K1" s="63" t="s">
        <v>398</v>
      </c>
      <c r="L1" s="64" t="s">
        <v>399</v>
      </c>
    </row>
    <row r="2" spans="1:12" hidden="1" x14ac:dyDescent="0.25">
      <c r="A2" s="43">
        <v>101589286</v>
      </c>
      <c r="B2" s="45" t="s">
        <v>52</v>
      </c>
      <c r="C2" s="45" t="s">
        <v>56</v>
      </c>
      <c r="D2" s="45" t="s">
        <v>55</v>
      </c>
      <c r="E2" s="45" t="s">
        <v>400</v>
      </c>
      <c r="F2" s="53">
        <v>45614</v>
      </c>
      <c r="G2" s="53">
        <v>45677</v>
      </c>
      <c r="H2" s="53">
        <v>45961</v>
      </c>
      <c r="I2" s="45" t="s">
        <v>401</v>
      </c>
      <c r="J2" s="45" t="s">
        <v>402</v>
      </c>
      <c r="K2" s="45">
        <v>1</v>
      </c>
      <c r="L2" s="58">
        <v>63</v>
      </c>
    </row>
    <row r="3" spans="1:12" hidden="1" x14ac:dyDescent="0.25">
      <c r="A3" s="44">
        <v>101589286</v>
      </c>
      <c r="B3" s="46" t="s">
        <v>52</v>
      </c>
      <c r="C3" s="46" t="s">
        <v>56</v>
      </c>
      <c r="D3" s="46" t="s">
        <v>55</v>
      </c>
      <c r="E3" s="46" t="s">
        <v>403</v>
      </c>
      <c r="F3" s="54">
        <v>45614</v>
      </c>
      <c r="G3" s="54">
        <v>45966</v>
      </c>
      <c r="H3" s="46" t="s">
        <v>127</v>
      </c>
      <c r="I3" s="46" t="s">
        <v>404</v>
      </c>
      <c r="J3" s="46" t="s">
        <v>402</v>
      </c>
      <c r="K3" s="46">
        <v>2</v>
      </c>
      <c r="L3" s="56" t="s">
        <v>405</v>
      </c>
    </row>
    <row r="4" spans="1:12" hidden="1" x14ac:dyDescent="0.25">
      <c r="A4" s="43">
        <v>101589287</v>
      </c>
      <c r="B4" s="45" t="s">
        <v>60</v>
      </c>
      <c r="C4" s="45" t="s">
        <v>56</v>
      </c>
      <c r="D4" s="45" t="s">
        <v>55</v>
      </c>
      <c r="E4" s="45" t="s">
        <v>406</v>
      </c>
      <c r="F4" s="53">
        <v>45614</v>
      </c>
      <c r="G4" s="53">
        <v>45672</v>
      </c>
      <c r="H4" s="45" t="s">
        <v>127</v>
      </c>
      <c r="I4" s="45" t="s">
        <v>404</v>
      </c>
      <c r="J4" s="45" t="s">
        <v>402</v>
      </c>
      <c r="K4" s="45">
        <v>1</v>
      </c>
      <c r="L4" s="58">
        <v>58</v>
      </c>
    </row>
    <row r="5" spans="1:12" hidden="1" x14ac:dyDescent="0.25">
      <c r="A5" s="44">
        <v>101589289</v>
      </c>
      <c r="B5" s="46" t="s">
        <v>63</v>
      </c>
      <c r="C5" s="46" t="s">
        <v>56</v>
      </c>
      <c r="D5" s="46" t="s">
        <v>55</v>
      </c>
      <c r="E5" s="46" t="s">
        <v>407</v>
      </c>
      <c r="F5" s="54">
        <v>45628</v>
      </c>
      <c r="G5" s="54">
        <v>45691</v>
      </c>
      <c r="H5" s="46" t="s">
        <v>127</v>
      </c>
      <c r="I5" s="46" t="s">
        <v>404</v>
      </c>
      <c r="J5" s="46" t="s">
        <v>402</v>
      </c>
      <c r="K5" s="46">
        <v>1</v>
      </c>
      <c r="L5" s="56">
        <v>63</v>
      </c>
    </row>
    <row r="6" spans="1:12" hidden="1" x14ac:dyDescent="0.25">
      <c r="A6" s="43">
        <v>101589293</v>
      </c>
      <c r="B6" s="45" t="s">
        <v>68</v>
      </c>
      <c r="C6" s="45" t="s">
        <v>56</v>
      </c>
      <c r="D6" s="45" t="s">
        <v>55</v>
      </c>
      <c r="E6" s="45" t="s">
        <v>407</v>
      </c>
      <c r="F6" s="53">
        <v>45628</v>
      </c>
      <c r="G6" s="53">
        <v>45691</v>
      </c>
      <c r="H6" s="45" t="s">
        <v>127</v>
      </c>
      <c r="I6" s="45" t="s">
        <v>404</v>
      </c>
      <c r="J6" s="45" t="s">
        <v>402</v>
      </c>
      <c r="K6" s="45">
        <v>1</v>
      </c>
      <c r="L6" s="58">
        <v>63</v>
      </c>
    </row>
    <row r="7" spans="1:12" hidden="1" x14ac:dyDescent="0.25">
      <c r="A7" s="44">
        <v>101592508</v>
      </c>
      <c r="B7" s="46" t="s">
        <v>71</v>
      </c>
      <c r="C7" s="46" t="s">
        <v>56</v>
      </c>
      <c r="D7" s="46" t="s">
        <v>72</v>
      </c>
      <c r="E7" s="46" t="s">
        <v>406</v>
      </c>
      <c r="F7" s="54">
        <v>45614</v>
      </c>
      <c r="G7" s="54">
        <v>45672</v>
      </c>
      <c r="H7" s="54">
        <v>46023</v>
      </c>
      <c r="I7" s="46" t="s">
        <v>401</v>
      </c>
      <c r="J7" s="46" t="s">
        <v>402</v>
      </c>
      <c r="K7" s="46">
        <v>1</v>
      </c>
      <c r="L7" s="56">
        <v>58</v>
      </c>
    </row>
    <row r="8" spans="1:12" hidden="1" x14ac:dyDescent="0.25">
      <c r="A8" s="43">
        <v>101592508</v>
      </c>
      <c r="B8" s="45" t="s">
        <v>71</v>
      </c>
      <c r="C8" s="45" t="s">
        <v>56</v>
      </c>
      <c r="D8" s="45" t="s">
        <v>72</v>
      </c>
      <c r="E8" s="45" t="s">
        <v>408</v>
      </c>
      <c r="F8" s="53">
        <v>45614</v>
      </c>
      <c r="G8" s="53">
        <v>46097</v>
      </c>
      <c r="H8" s="45" t="s">
        <v>127</v>
      </c>
      <c r="I8" s="45" t="s">
        <v>404</v>
      </c>
      <c r="J8" s="45" t="s">
        <v>402</v>
      </c>
      <c r="K8" s="45">
        <v>2</v>
      </c>
      <c r="L8" s="58" t="s">
        <v>405</v>
      </c>
    </row>
    <row r="9" spans="1:12" hidden="1" x14ac:dyDescent="0.25">
      <c r="A9" s="44">
        <v>101593052</v>
      </c>
      <c r="B9" s="46" t="s">
        <v>75</v>
      </c>
      <c r="C9" s="46" t="s">
        <v>56</v>
      </c>
      <c r="D9" s="46" t="s">
        <v>55</v>
      </c>
      <c r="E9" s="46" t="s">
        <v>406</v>
      </c>
      <c r="F9" s="54">
        <v>45614</v>
      </c>
      <c r="G9" s="54">
        <v>45672</v>
      </c>
      <c r="H9" s="54">
        <v>46023</v>
      </c>
      <c r="I9" s="46" t="s">
        <v>401</v>
      </c>
      <c r="J9" s="46" t="s">
        <v>402</v>
      </c>
      <c r="K9" s="46">
        <v>1</v>
      </c>
      <c r="L9" s="56">
        <v>58</v>
      </c>
    </row>
    <row r="10" spans="1:12" hidden="1" x14ac:dyDescent="0.25">
      <c r="A10" s="43">
        <v>101593052</v>
      </c>
      <c r="B10" s="45" t="s">
        <v>75</v>
      </c>
      <c r="C10" s="45" t="s">
        <v>56</v>
      </c>
      <c r="D10" s="45" t="s">
        <v>55</v>
      </c>
      <c r="E10" s="45" t="s">
        <v>403</v>
      </c>
      <c r="F10" s="53">
        <v>45614</v>
      </c>
      <c r="G10" s="53">
        <v>46113</v>
      </c>
      <c r="H10" s="45" t="s">
        <v>127</v>
      </c>
      <c r="I10" s="45" t="s">
        <v>404</v>
      </c>
      <c r="J10" s="45" t="s">
        <v>402</v>
      </c>
      <c r="K10" s="45">
        <v>3</v>
      </c>
      <c r="L10" s="58" t="s">
        <v>405</v>
      </c>
    </row>
    <row r="11" spans="1:12" hidden="1" x14ac:dyDescent="0.25">
      <c r="A11" s="44">
        <v>101593052</v>
      </c>
      <c r="B11" s="46" t="s">
        <v>75</v>
      </c>
      <c r="C11" s="46" t="s">
        <v>56</v>
      </c>
      <c r="D11" s="46" t="s">
        <v>55</v>
      </c>
      <c r="E11" s="46" t="s">
        <v>409</v>
      </c>
      <c r="F11" s="54">
        <v>45614</v>
      </c>
      <c r="G11" s="54">
        <v>46048</v>
      </c>
      <c r="H11" s="54">
        <v>46112</v>
      </c>
      <c r="I11" s="46" t="s">
        <v>401</v>
      </c>
      <c r="J11" s="46" t="s">
        <v>402</v>
      </c>
      <c r="K11" s="46">
        <v>2</v>
      </c>
      <c r="L11" s="56" t="s">
        <v>405</v>
      </c>
    </row>
    <row r="12" spans="1:12" hidden="1" x14ac:dyDescent="0.25">
      <c r="A12" s="43">
        <v>101593052</v>
      </c>
      <c r="B12" s="45" t="s">
        <v>75</v>
      </c>
      <c r="C12" s="45" t="s">
        <v>56</v>
      </c>
      <c r="D12" s="45" t="s">
        <v>55</v>
      </c>
      <c r="E12" s="45" t="s">
        <v>403</v>
      </c>
      <c r="F12" s="53">
        <v>45614</v>
      </c>
      <c r="G12" s="53">
        <v>46113</v>
      </c>
      <c r="H12" s="45" t="s">
        <v>127</v>
      </c>
      <c r="I12" s="45" t="s">
        <v>404</v>
      </c>
      <c r="J12" s="45" t="s">
        <v>402</v>
      </c>
      <c r="K12" s="45" t="s">
        <v>127</v>
      </c>
      <c r="L12" s="58" t="s">
        <v>405</v>
      </c>
    </row>
    <row r="13" spans="1:12" hidden="1" x14ac:dyDescent="0.25">
      <c r="A13" s="44">
        <v>101595075</v>
      </c>
      <c r="B13" s="46" t="s">
        <v>78</v>
      </c>
      <c r="C13" s="46" t="s">
        <v>56</v>
      </c>
      <c r="D13" s="46" t="s">
        <v>55</v>
      </c>
      <c r="E13" s="46" t="s">
        <v>400</v>
      </c>
      <c r="F13" s="54">
        <v>45614</v>
      </c>
      <c r="G13" s="54">
        <v>45677</v>
      </c>
      <c r="H13" s="54">
        <v>45869</v>
      </c>
      <c r="I13" s="46" t="s">
        <v>401</v>
      </c>
      <c r="J13" s="46" t="s">
        <v>402</v>
      </c>
      <c r="K13" s="46">
        <v>1</v>
      </c>
      <c r="L13" s="56">
        <v>63</v>
      </c>
    </row>
    <row r="14" spans="1:12" hidden="1" x14ac:dyDescent="0.25">
      <c r="A14" s="43">
        <v>101595075</v>
      </c>
      <c r="B14" s="45" t="s">
        <v>78</v>
      </c>
      <c r="C14" s="45" t="s">
        <v>56</v>
      </c>
      <c r="D14" s="45" t="s">
        <v>55</v>
      </c>
      <c r="E14" s="45" t="s">
        <v>403</v>
      </c>
      <c r="F14" s="53">
        <v>45614</v>
      </c>
      <c r="G14" s="53">
        <v>45994</v>
      </c>
      <c r="H14" s="45" t="s">
        <v>127</v>
      </c>
      <c r="I14" s="45" t="s">
        <v>404</v>
      </c>
      <c r="J14" s="45" t="s">
        <v>402</v>
      </c>
      <c r="K14" s="45">
        <v>2</v>
      </c>
      <c r="L14" s="58" t="s">
        <v>405</v>
      </c>
    </row>
    <row r="15" spans="1:12" hidden="1" x14ac:dyDescent="0.25">
      <c r="A15" s="44">
        <v>101595096</v>
      </c>
      <c r="B15" s="46" t="s">
        <v>81</v>
      </c>
      <c r="C15" s="46" t="s">
        <v>56</v>
      </c>
      <c r="D15" s="46" t="s">
        <v>55</v>
      </c>
      <c r="E15" s="51" t="s">
        <v>406</v>
      </c>
      <c r="F15" s="65">
        <v>45614</v>
      </c>
      <c r="G15" s="54">
        <v>45672</v>
      </c>
      <c r="H15" s="54">
        <v>45989</v>
      </c>
      <c r="I15" s="46" t="s">
        <v>401</v>
      </c>
      <c r="J15" s="46" t="s">
        <v>402</v>
      </c>
      <c r="K15" s="46">
        <v>1</v>
      </c>
      <c r="L15" s="56">
        <v>58</v>
      </c>
    </row>
    <row r="16" spans="1:12" hidden="1" x14ac:dyDescent="0.25">
      <c r="A16" s="43">
        <v>101595096</v>
      </c>
      <c r="B16" s="45" t="s">
        <v>81</v>
      </c>
      <c r="C16" s="45" t="s">
        <v>56</v>
      </c>
      <c r="D16" s="45" t="s">
        <v>55</v>
      </c>
      <c r="E16" s="45" t="s">
        <v>410</v>
      </c>
      <c r="F16" s="53">
        <v>45614</v>
      </c>
      <c r="G16" s="53">
        <v>46027</v>
      </c>
      <c r="H16" s="53">
        <v>46227</v>
      </c>
      <c r="I16" s="45" t="s">
        <v>401</v>
      </c>
      <c r="J16" s="45" t="s">
        <v>402</v>
      </c>
      <c r="K16" s="45">
        <v>2</v>
      </c>
      <c r="L16" s="58" t="s">
        <v>405</v>
      </c>
    </row>
    <row r="17" spans="1:12" hidden="1" x14ac:dyDescent="0.25">
      <c r="A17" s="44">
        <v>101596282</v>
      </c>
      <c r="B17" s="46" t="s">
        <v>85</v>
      </c>
      <c r="C17" s="46" t="s">
        <v>56</v>
      </c>
      <c r="D17" s="46" t="s">
        <v>72</v>
      </c>
      <c r="E17" s="46" t="s">
        <v>406</v>
      </c>
      <c r="F17" s="54">
        <v>45614</v>
      </c>
      <c r="G17" s="54">
        <v>45672</v>
      </c>
      <c r="H17" s="54">
        <v>46023</v>
      </c>
      <c r="I17" s="46" t="s">
        <v>401</v>
      </c>
      <c r="J17" s="46" t="s">
        <v>402</v>
      </c>
      <c r="K17" s="46">
        <v>1</v>
      </c>
      <c r="L17" s="56">
        <v>58</v>
      </c>
    </row>
    <row r="18" spans="1:12" hidden="1" x14ac:dyDescent="0.25">
      <c r="A18" s="43">
        <v>101596282</v>
      </c>
      <c r="B18" s="45" t="s">
        <v>85</v>
      </c>
      <c r="C18" s="45" t="s">
        <v>56</v>
      </c>
      <c r="D18" s="45" t="s">
        <v>55</v>
      </c>
      <c r="E18" s="45" t="s">
        <v>411</v>
      </c>
      <c r="F18" s="53">
        <v>45614</v>
      </c>
      <c r="G18" s="53">
        <v>46048</v>
      </c>
      <c r="H18" s="45" t="s">
        <v>127</v>
      </c>
      <c r="I18" s="45" t="s">
        <v>404</v>
      </c>
      <c r="J18" s="45" t="s">
        <v>402</v>
      </c>
      <c r="K18" s="45">
        <v>2</v>
      </c>
      <c r="L18" s="58" t="s">
        <v>405</v>
      </c>
    </row>
    <row r="19" spans="1:12" hidden="1" x14ac:dyDescent="0.25">
      <c r="A19" s="44">
        <v>101602637</v>
      </c>
      <c r="B19" s="46" t="s">
        <v>88</v>
      </c>
      <c r="C19" s="46" t="s">
        <v>56</v>
      </c>
      <c r="D19" s="46" t="s">
        <v>55</v>
      </c>
      <c r="E19" s="46" t="s">
        <v>400</v>
      </c>
      <c r="F19" s="54">
        <v>45628</v>
      </c>
      <c r="G19" s="54">
        <v>45691</v>
      </c>
      <c r="H19" s="54">
        <v>45961</v>
      </c>
      <c r="I19" s="46" t="s">
        <v>401</v>
      </c>
      <c r="J19" s="46" t="s">
        <v>402</v>
      </c>
      <c r="K19" s="46">
        <v>1</v>
      </c>
      <c r="L19" s="56">
        <v>63</v>
      </c>
    </row>
    <row r="20" spans="1:12" hidden="1" x14ac:dyDescent="0.25">
      <c r="A20" s="43">
        <v>101602637</v>
      </c>
      <c r="B20" s="45" t="s">
        <v>88</v>
      </c>
      <c r="C20" s="45" t="s">
        <v>56</v>
      </c>
      <c r="D20" s="45" t="s">
        <v>55</v>
      </c>
      <c r="E20" s="45" t="s">
        <v>403</v>
      </c>
      <c r="F20" s="53">
        <v>45628</v>
      </c>
      <c r="G20" s="53">
        <v>45994</v>
      </c>
      <c r="H20" s="45" t="s">
        <v>127</v>
      </c>
      <c r="I20" s="45" t="s">
        <v>404</v>
      </c>
      <c r="J20" s="45" t="s">
        <v>402</v>
      </c>
      <c r="K20" s="45">
        <v>2</v>
      </c>
      <c r="L20" s="58" t="s">
        <v>405</v>
      </c>
    </row>
    <row r="21" spans="1:12" hidden="1" x14ac:dyDescent="0.25">
      <c r="A21" s="44">
        <v>101602653</v>
      </c>
      <c r="B21" s="46" t="s">
        <v>91</v>
      </c>
      <c r="C21" s="46" t="s">
        <v>94</v>
      </c>
      <c r="D21" s="46" t="s">
        <v>55</v>
      </c>
      <c r="E21" s="46" t="s">
        <v>406</v>
      </c>
      <c r="F21" s="54">
        <v>45670</v>
      </c>
      <c r="G21" s="54">
        <v>45719</v>
      </c>
      <c r="H21" s="54">
        <v>46146</v>
      </c>
      <c r="I21" s="46" t="s">
        <v>401</v>
      </c>
      <c r="J21" s="46" t="s">
        <v>402</v>
      </c>
      <c r="K21" s="46">
        <v>1</v>
      </c>
      <c r="L21" s="56">
        <v>49</v>
      </c>
    </row>
    <row r="22" spans="1:12" hidden="1" x14ac:dyDescent="0.25">
      <c r="A22" s="43">
        <v>101602653</v>
      </c>
      <c r="B22" s="45" t="s">
        <v>91</v>
      </c>
      <c r="C22" s="45" t="s">
        <v>94</v>
      </c>
      <c r="D22" s="45" t="s">
        <v>55</v>
      </c>
      <c r="E22" s="45" t="s">
        <v>412</v>
      </c>
      <c r="F22" s="53">
        <v>45670</v>
      </c>
      <c r="G22" s="53">
        <v>46169</v>
      </c>
      <c r="H22" s="45" t="s">
        <v>127</v>
      </c>
      <c r="I22" s="45" t="s">
        <v>404</v>
      </c>
      <c r="J22" s="45" t="s">
        <v>402</v>
      </c>
      <c r="K22" s="45" t="s">
        <v>127</v>
      </c>
      <c r="L22" s="58" t="s">
        <v>405</v>
      </c>
    </row>
    <row r="23" spans="1:12" hidden="1" x14ac:dyDescent="0.25">
      <c r="A23" s="44">
        <v>101603363</v>
      </c>
      <c r="B23" s="46" t="s">
        <v>97</v>
      </c>
      <c r="C23" s="46" t="s">
        <v>94</v>
      </c>
      <c r="D23" s="46" t="s">
        <v>55</v>
      </c>
      <c r="E23" s="46" t="s">
        <v>400</v>
      </c>
      <c r="F23" s="54">
        <v>45635</v>
      </c>
      <c r="G23" s="54">
        <v>45714</v>
      </c>
      <c r="H23" s="54">
        <v>45777</v>
      </c>
      <c r="I23" s="46" t="s">
        <v>401</v>
      </c>
      <c r="J23" s="46" t="s">
        <v>402</v>
      </c>
      <c r="K23" s="46">
        <v>1</v>
      </c>
      <c r="L23" s="56">
        <v>79</v>
      </c>
    </row>
    <row r="24" spans="1:12" hidden="1" x14ac:dyDescent="0.25">
      <c r="A24" s="45">
        <v>101603363</v>
      </c>
      <c r="B24" s="45" t="s">
        <v>97</v>
      </c>
      <c r="C24" s="45" t="s">
        <v>94</v>
      </c>
      <c r="D24" s="45" t="s">
        <v>55</v>
      </c>
      <c r="E24" s="45" t="s">
        <v>410</v>
      </c>
      <c r="F24" s="53">
        <v>45714</v>
      </c>
      <c r="G24" s="53">
        <v>45809</v>
      </c>
      <c r="H24" s="53">
        <v>45868</v>
      </c>
      <c r="I24" s="45" t="s">
        <v>404</v>
      </c>
      <c r="J24" s="45" t="s">
        <v>402</v>
      </c>
      <c r="K24" s="45">
        <v>2</v>
      </c>
      <c r="L24" s="58" t="s">
        <v>405</v>
      </c>
    </row>
    <row r="25" spans="1:12" hidden="1" x14ac:dyDescent="0.25">
      <c r="A25" s="44">
        <v>101603363</v>
      </c>
      <c r="B25" s="46" t="s">
        <v>97</v>
      </c>
      <c r="C25" s="46" t="s">
        <v>94</v>
      </c>
      <c r="D25" s="46" t="s">
        <v>55</v>
      </c>
      <c r="E25" s="46" t="s">
        <v>406</v>
      </c>
      <c r="F25" s="54">
        <v>45809</v>
      </c>
      <c r="G25" s="54">
        <v>45870</v>
      </c>
      <c r="H25" s="54">
        <v>45989</v>
      </c>
      <c r="I25" s="46" t="s">
        <v>401</v>
      </c>
      <c r="J25" s="46" t="s">
        <v>402</v>
      </c>
      <c r="K25" s="46">
        <v>3</v>
      </c>
      <c r="L25" s="56" t="s">
        <v>405</v>
      </c>
    </row>
    <row r="26" spans="1:12" hidden="1" x14ac:dyDescent="0.25">
      <c r="A26" s="43">
        <v>101603363</v>
      </c>
      <c r="B26" s="45" t="s">
        <v>97</v>
      </c>
      <c r="C26" s="45" t="s">
        <v>94</v>
      </c>
      <c r="D26" s="45" t="s">
        <v>55</v>
      </c>
      <c r="E26" s="45" t="s">
        <v>410</v>
      </c>
      <c r="F26" s="53">
        <v>45635</v>
      </c>
      <c r="G26" s="53">
        <v>46064</v>
      </c>
      <c r="H26" s="53">
        <v>46094</v>
      </c>
      <c r="I26" s="45" t="s">
        <v>401</v>
      </c>
      <c r="J26" s="66" t="s">
        <v>413</v>
      </c>
      <c r="K26" s="45">
        <v>0</v>
      </c>
      <c r="L26" s="67" t="s">
        <v>405</v>
      </c>
    </row>
    <row r="27" spans="1:12" hidden="1" x14ac:dyDescent="0.25">
      <c r="A27" s="44">
        <v>101603363</v>
      </c>
      <c r="B27" s="46" t="s">
        <v>97</v>
      </c>
      <c r="C27" s="46" t="s">
        <v>94</v>
      </c>
      <c r="D27" s="46" t="s">
        <v>55</v>
      </c>
      <c r="E27" s="46" t="s">
        <v>408</v>
      </c>
      <c r="F27" s="54">
        <v>45635</v>
      </c>
      <c r="G27" s="54">
        <v>46104</v>
      </c>
      <c r="H27" s="54">
        <v>46122</v>
      </c>
      <c r="I27" s="46" t="s">
        <v>401</v>
      </c>
      <c r="J27" s="46" t="s">
        <v>402</v>
      </c>
      <c r="K27" s="46">
        <v>4</v>
      </c>
      <c r="L27" s="56" t="s">
        <v>405</v>
      </c>
    </row>
    <row r="28" spans="1:12" hidden="1" x14ac:dyDescent="0.25">
      <c r="A28" s="43">
        <v>101603363</v>
      </c>
      <c r="B28" s="45" t="s">
        <v>97</v>
      </c>
      <c r="C28" s="45" t="s">
        <v>94</v>
      </c>
      <c r="D28" s="45" t="s">
        <v>55</v>
      </c>
      <c r="E28" s="45" t="s">
        <v>414</v>
      </c>
      <c r="F28" s="53">
        <v>45635</v>
      </c>
      <c r="G28" s="53">
        <v>46113</v>
      </c>
      <c r="H28" s="53">
        <v>46113</v>
      </c>
      <c r="I28" s="45" t="s">
        <v>401</v>
      </c>
      <c r="J28" s="45" t="s">
        <v>127</v>
      </c>
      <c r="K28" s="45" t="s">
        <v>127</v>
      </c>
      <c r="L28" s="58" t="s">
        <v>405</v>
      </c>
    </row>
    <row r="29" spans="1:12" hidden="1" x14ac:dyDescent="0.25">
      <c r="A29" s="44">
        <v>101603363</v>
      </c>
      <c r="B29" s="46" t="s">
        <v>97</v>
      </c>
      <c r="C29" s="46" t="s">
        <v>94</v>
      </c>
      <c r="D29" s="46" t="s">
        <v>55</v>
      </c>
      <c r="E29" s="46" t="s">
        <v>415</v>
      </c>
      <c r="F29" s="54">
        <v>45635</v>
      </c>
      <c r="G29" s="54">
        <v>46111</v>
      </c>
      <c r="H29" s="54">
        <v>46234</v>
      </c>
      <c r="I29" s="46" t="s">
        <v>401</v>
      </c>
      <c r="J29" s="46" t="s">
        <v>402</v>
      </c>
      <c r="K29" s="46" t="s">
        <v>127</v>
      </c>
      <c r="L29" s="56" t="s">
        <v>405</v>
      </c>
    </row>
    <row r="30" spans="1:12" hidden="1" x14ac:dyDescent="0.25">
      <c r="A30" s="43">
        <v>101603363</v>
      </c>
      <c r="B30" s="45" t="s">
        <v>97</v>
      </c>
      <c r="C30" s="45" t="s">
        <v>94</v>
      </c>
      <c r="D30" s="45" t="s">
        <v>55</v>
      </c>
      <c r="E30" s="45" t="s">
        <v>416</v>
      </c>
      <c r="F30" s="53">
        <v>45635</v>
      </c>
      <c r="G30" s="53">
        <v>46239</v>
      </c>
      <c r="H30" s="45" t="s">
        <v>127</v>
      </c>
      <c r="I30" s="45" t="s">
        <v>404</v>
      </c>
      <c r="J30" s="45" t="s">
        <v>402</v>
      </c>
      <c r="K30" s="45" t="s">
        <v>127</v>
      </c>
      <c r="L30" s="58" t="s">
        <v>405</v>
      </c>
    </row>
    <row r="31" spans="1:12" hidden="1" x14ac:dyDescent="0.25">
      <c r="A31" s="44">
        <v>101605667</v>
      </c>
      <c r="B31" s="46" t="s">
        <v>102</v>
      </c>
      <c r="C31" s="46" t="s">
        <v>94</v>
      </c>
      <c r="D31" s="46" t="s">
        <v>55</v>
      </c>
      <c r="E31" s="46" t="s">
        <v>400</v>
      </c>
      <c r="F31" s="54">
        <v>45635</v>
      </c>
      <c r="G31" s="54">
        <v>45714</v>
      </c>
      <c r="H31" s="54">
        <v>45793</v>
      </c>
      <c r="I31" s="46" t="s">
        <v>401</v>
      </c>
      <c r="J31" s="46" t="s">
        <v>402</v>
      </c>
      <c r="K31" s="46">
        <v>1</v>
      </c>
      <c r="L31" s="56">
        <v>79</v>
      </c>
    </row>
    <row r="32" spans="1:12" hidden="1" x14ac:dyDescent="0.25">
      <c r="A32" s="43">
        <v>101609837</v>
      </c>
      <c r="B32" s="45" t="s">
        <v>106</v>
      </c>
      <c r="C32" s="45" t="s">
        <v>56</v>
      </c>
      <c r="D32" s="45" t="s">
        <v>55</v>
      </c>
      <c r="E32" s="45" t="s">
        <v>406</v>
      </c>
      <c r="F32" s="53">
        <v>45670</v>
      </c>
      <c r="G32" s="53">
        <v>45719</v>
      </c>
      <c r="H32" s="53">
        <v>45989</v>
      </c>
      <c r="I32" s="45" t="s">
        <v>401</v>
      </c>
      <c r="J32" s="45" t="s">
        <v>402</v>
      </c>
      <c r="K32" s="45">
        <v>1</v>
      </c>
      <c r="L32" s="58">
        <v>49</v>
      </c>
    </row>
    <row r="33" spans="1:12" hidden="1" x14ac:dyDescent="0.25">
      <c r="A33" s="44">
        <v>101609837</v>
      </c>
      <c r="B33" s="46" t="s">
        <v>106</v>
      </c>
      <c r="C33" s="46" t="s">
        <v>56</v>
      </c>
      <c r="D33" s="46" t="s">
        <v>55</v>
      </c>
      <c r="E33" s="46" t="s">
        <v>403</v>
      </c>
      <c r="F33" s="54">
        <v>45670</v>
      </c>
      <c r="G33" s="54">
        <v>46027</v>
      </c>
      <c r="H33" s="46" t="s">
        <v>127</v>
      </c>
      <c r="I33" s="46" t="s">
        <v>404</v>
      </c>
      <c r="J33" s="46" t="s">
        <v>402</v>
      </c>
      <c r="K33" s="46">
        <v>2</v>
      </c>
      <c r="L33" s="56" t="s">
        <v>405</v>
      </c>
    </row>
    <row r="34" spans="1:12" hidden="1" x14ac:dyDescent="0.25">
      <c r="A34" s="45">
        <v>101611394</v>
      </c>
      <c r="B34" s="45" t="s">
        <v>109</v>
      </c>
      <c r="C34" s="45" t="s">
        <v>56</v>
      </c>
      <c r="D34" s="45" t="s">
        <v>55</v>
      </c>
      <c r="E34" s="45" t="s">
        <v>407</v>
      </c>
      <c r="F34" s="53">
        <v>45670</v>
      </c>
      <c r="G34" s="53">
        <v>45740</v>
      </c>
      <c r="H34" s="45" t="s">
        <v>127</v>
      </c>
      <c r="I34" s="45" t="s">
        <v>404</v>
      </c>
      <c r="J34" s="45" t="s">
        <v>402</v>
      </c>
      <c r="K34" s="45">
        <v>1</v>
      </c>
      <c r="L34" s="58">
        <v>70</v>
      </c>
    </row>
    <row r="35" spans="1:12" hidden="1" x14ac:dyDescent="0.25">
      <c r="A35" s="46">
        <v>101611395</v>
      </c>
      <c r="B35" s="46" t="s">
        <v>112</v>
      </c>
      <c r="C35" s="46" t="s">
        <v>56</v>
      </c>
      <c r="D35" s="46" t="s">
        <v>72</v>
      </c>
      <c r="E35" s="46" t="s">
        <v>407</v>
      </c>
      <c r="F35" s="54">
        <v>45670</v>
      </c>
      <c r="G35" s="54">
        <v>45740</v>
      </c>
      <c r="H35" s="46" t="s">
        <v>127</v>
      </c>
      <c r="I35" s="46" t="s">
        <v>404</v>
      </c>
      <c r="J35" s="46" t="s">
        <v>402</v>
      </c>
      <c r="K35" s="46">
        <v>1</v>
      </c>
      <c r="L35" s="56">
        <v>70</v>
      </c>
    </row>
    <row r="36" spans="1:12" hidden="1" x14ac:dyDescent="0.25">
      <c r="A36" s="45">
        <v>101616095</v>
      </c>
      <c r="B36" s="45" t="s">
        <v>115</v>
      </c>
      <c r="C36" s="45" t="s">
        <v>56</v>
      </c>
      <c r="D36" s="45" t="s">
        <v>116</v>
      </c>
      <c r="E36" s="45" t="s">
        <v>407</v>
      </c>
      <c r="F36" s="53">
        <v>45670</v>
      </c>
      <c r="G36" s="53">
        <v>45740</v>
      </c>
      <c r="H36" s="45" t="s">
        <v>127</v>
      </c>
      <c r="I36" s="45" t="s">
        <v>404</v>
      </c>
      <c r="J36" s="45" t="s">
        <v>402</v>
      </c>
      <c r="K36" s="45">
        <v>1</v>
      </c>
      <c r="L36" s="58">
        <v>70</v>
      </c>
    </row>
    <row r="37" spans="1:12" hidden="1" x14ac:dyDescent="0.25">
      <c r="A37" s="46">
        <v>101616103</v>
      </c>
      <c r="B37" s="46" t="s">
        <v>119</v>
      </c>
      <c r="C37" s="46" t="s">
        <v>94</v>
      </c>
      <c r="D37" s="46" t="s">
        <v>55</v>
      </c>
      <c r="E37" s="46" t="s">
        <v>400</v>
      </c>
      <c r="F37" s="54">
        <v>45670</v>
      </c>
      <c r="G37" s="54">
        <v>45735</v>
      </c>
      <c r="H37" s="54">
        <v>45777</v>
      </c>
      <c r="I37" s="46" t="s">
        <v>401</v>
      </c>
      <c r="J37" s="46" t="s">
        <v>402</v>
      </c>
      <c r="K37" s="46">
        <v>1</v>
      </c>
      <c r="L37" s="56">
        <v>65</v>
      </c>
    </row>
    <row r="38" spans="1:12" hidden="1" x14ac:dyDescent="0.25">
      <c r="A38" s="45">
        <v>101616103</v>
      </c>
      <c r="B38" s="45" t="s">
        <v>119</v>
      </c>
      <c r="C38" s="45" t="s">
        <v>94</v>
      </c>
      <c r="D38" s="45" t="s">
        <v>55</v>
      </c>
      <c r="E38" s="45" t="s">
        <v>417</v>
      </c>
      <c r="F38" s="53">
        <v>45735</v>
      </c>
      <c r="G38" s="53">
        <v>45861</v>
      </c>
      <c r="H38" s="53">
        <v>45951</v>
      </c>
      <c r="I38" s="45" t="s">
        <v>401</v>
      </c>
      <c r="J38" s="45" t="s">
        <v>402</v>
      </c>
      <c r="K38" s="45">
        <v>2</v>
      </c>
      <c r="L38" s="58" t="s">
        <v>405</v>
      </c>
    </row>
    <row r="39" spans="1:12" hidden="1" x14ac:dyDescent="0.25">
      <c r="A39" s="46">
        <v>101616103</v>
      </c>
      <c r="B39" s="46" t="s">
        <v>119</v>
      </c>
      <c r="C39" s="46" t="s">
        <v>94</v>
      </c>
      <c r="D39" s="46" t="s">
        <v>55</v>
      </c>
      <c r="E39" s="46" t="s">
        <v>418</v>
      </c>
      <c r="F39" s="54">
        <v>45670</v>
      </c>
      <c r="G39" s="54">
        <v>46000</v>
      </c>
      <c r="H39" s="54">
        <v>46038</v>
      </c>
      <c r="I39" s="46" t="s">
        <v>401</v>
      </c>
      <c r="J39" s="46" t="s">
        <v>413</v>
      </c>
      <c r="K39" s="46">
        <v>0</v>
      </c>
      <c r="L39" s="56" t="s">
        <v>405</v>
      </c>
    </row>
    <row r="40" spans="1:12" hidden="1" x14ac:dyDescent="0.25">
      <c r="A40" s="45">
        <v>101616103</v>
      </c>
      <c r="B40" s="45" t="s">
        <v>119</v>
      </c>
      <c r="C40" s="45" t="s">
        <v>94</v>
      </c>
      <c r="D40" s="45" t="s">
        <v>55</v>
      </c>
      <c r="E40" s="45" t="s">
        <v>418</v>
      </c>
      <c r="F40" s="53">
        <v>45670</v>
      </c>
      <c r="G40" s="53">
        <v>46041</v>
      </c>
      <c r="H40" s="53">
        <v>46232</v>
      </c>
      <c r="I40" s="45" t="s">
        <v>401</v>
      </c>
      <c r="J40" s="45" t="s">
        <v>402</v>
      </c>
      <c r="K40" s="45">
        <v>3</v>
      </c>
      <c r="L40" s="58" t="s">
        <v>405</v>
      </c>
    </row>
    <row r="41" spans="1:12" hidden="1" x14ac:dyDescent="0.25">
      <c r="A41" s="46">
        <v>101624793</v>
      </c>
      <c r="B41" s="46" t="s">
        <v>419</v>
      </c>
      <c r="C41" s="46" t="s">
        <v>126</v>
      </c>
      <c r="D41" s="46" t="s">
        <v>116</v>
      </c>
      <c r="E41" s="46" t="s">
        <v>420</v>
      </c>
      <c r="F41" s="54">
        <v>45719</v>
      </c>
      <c r="G41" s="54">
        <v>45768</v>
      </c>
      <c r="H41" s="54">
        <v>45870</v>
      </c>
      <c r="I41" s="46" t="s">
        <v>401</v>
      </c>
      <c r="J41" s="46" t="s">
        <v>402</v>
      </c>
      <c r="K41" s="46">
        <v>1</v>
      </c>
      <c r="L41" s="56">
        <v>49</v>
      </c>
    </row>
    <row r="42" spans="1:12" hidden="1" x14ac:dyDescent="0.25">
      <c r="A42" s="45">
        <v>101625595</v>
      </c>
      <c r="B42" s="45" t="s">
        <v>130</v>
      </c>
      <c r="C42" s="45" t="s">
        <v>56</v>
      </c>
      <c r="D42" s="45" t="s">
        <v>72</v>
      </c>
      <c r="E42" s="45" t="s">
        <v>400</v>
      </c>
      <c r="F42" s="53">
        <v>45705</v>
      </c>
      <c r="G42" s="53">
        <v>45761</v>
      </c>
      <c r="H42" s="53">
        <v>45989</v>
      </c>
      <c r="I42" s="45" t="s">
        <v>401</v>
      </c>
      <c r="J42" s="45" t="s">
        <v>402</v>
      </c>
      <c r="K42" s="45">
        <v>1</v>
      </c>
      <c r="L42" s="58">
        <v>56</v>
      </c>
    </row>
    <row r="43" spans="1:12" hidden="1" x14ac:dyDescent="0.25">
      <c r="A43" s="46">
        <v>101625595</v>
      </c>
      <c r="B43" s="46" t="s">
        <v>130</v>
      </c>
      <c r="C43" s="46" t="s">
        <v>56</v>
      </c>
      <c r="D43" s="46" t="s">
        <v>55</v>
      </c>
      <c r="E43" s="46" t="s">
        <v>410</v>
      </c>
      <c r="F43" s="54">
        <v>45705</v>
      </c>
      <c r="G43" s="54">
        <v>45993</v>
      </c>
      <c r="H43" s="54">
        <v>46227</v>
      </c>
      <c r="I43" s="46" t="s">
        <v>401</v>
      </c>
      <c r="J43" s="46" t="s">
        <v>402</v>
      </c>
      <c r="K43" s="46">
        <v>2</v>
      </c>
      <c r="L43" s="56" t="s">
        <v>405</v>
      </c>
    </row>
    <row r="44" spans="1:12" hidden="1" x14ac:dyDescent="0.25">
      <c r="A44" s="43">
        <v>101625599</v>
      </c>
      <c r="B44" s="45" t="s">
        <v>135</v>
      </c>
      <c r="C44" s="45" t="s">
        <v>56</v>
      </c>
      <c r="D44" s="45" t="s">
        <v>72</v>
      </c>
      <c r="E44" s="45" t="s">
        <v>407</v>
      </c>
      <c r="F44" s="53">
        <v>45705</v>
      </c>
      <c r="G44" s="53">
        <v>45740</v>
      </c>
      <c r="H44" s="45" t="s">
        <v>127</v>
      </c>
      <c r="I44" s="45" t="s">
        <v>404</v>
      </c>
      <c r="J44" s="45" t="s">
        <v>402</v>
      </c>
      <c r="K44" s="45">
        <v>1</v>
      </c>
      <c r="L44" s="58">
        <v>35</v>
      </c>
    </row>
    <row r="45" spans="1:12" hidden="1" x14ac:dyDescent="0.25">
      <c r="A45" s="44">
        <v>101625605</v>
      </c>
      <c r="B45" s="46" t="s">
        <v>138</v>
      </c>
      <c r="C45" s="46" t="s">
        <v>56</v>
      </c>
      <c r="D45" s="46" t="s">
        <v>116</v>
      </c>
      <c r="E45" s="46" t="s">
        <v>420</v>
      </c>
      <c r="F45" s="54">
        <v>45705</v>
      </c>
      <c r="G45" s="54">
        <v>45758</v>
      </c>
      <c r="H45" s="54">
        <v>45865</v>
      </c>
      <c r="I45" s="46" t="s">
        <v>401</v>
      </c>
      <c r="J45" s="46" t="s">
        <v>402</v>
      </c>
      <c r="K45" s="46">
        <v>1</v>
      </c>
      <c r="L45" s="56">
        <v>53</v>
      </c>
    </row>
    <row r="46" spans="1:12" hidden="1" x14ac:dyDescent="0.25">
      <c r="A46" s="43">
        <v>101625610</v>
      </c>
      <c r="B46" s="45" t="s">
        <v>141</v>
      </c>
      <c r="C46" s="45" t="s">
        <v>56</v>
      </c>
      <c r="D46" s="45" t="s">
        <v>55</v>
      </c>
      <c r="E46" s="45" t="s">
        <v>407</v>
      </c>
      <c r="F46" s="53">
        <v>45705</v>
      </c>
      <c r="G46" s="53">
        <v>45740</v>
      </c>
      <c r="H46" s="45" t="s">
        <v>127</v>
      </c>
      <c r="I46" s="45" t="s">
        <v>404</v>
      </c>
      <c r="J46" s="45" t="s">
        <v>402</v>
      </c>
      <c r="K46" s="45">
        <v>1</v>
      </c>
      <c r="L46" s="58">
        <v>35</v>
      </c>
    </row>
    <row r="47" spans="1:12" x14ac:dyDescent="0.25">
      <c r="A47" s="44">
        <v>101625861</v>
      </c>
      <c r="B47" s="46" t="s">
        <v>144</v>
      </c>
      <c r="C47" s="46" t="s">
        <v>56</v>
      </c>
      <c r="D47" s="46" t="s">
        <v>55</v>
      </c>
      <c r="E47" s="46" t="s">
        <v>410</v>
      </c>
      <c r="F47" s="54">
        <v>45705</v>
      </c>
      <c r="G47" s="54">
        <v>45782</v>
      </c>
      <c r="H47" s="54">
        <v>45866</v>
      </c>
      <c r="I47" s="46" t="s">
        <v>401</v>
      </c>
      <c r="J47" s="46" t="s">
        <v>402</v>
      </c>
      <c r="K47" s="46">
        <v>1</v>
      </c>
      <c r="L47" s="56">
        <v>77</v>
      </c>
    </row>
    <row r="48" spans="1:12" hidden="1" x14ac:dyDescent="0.25">
      <c r="A48" s="43">
        <v>101627905</v>
      </c>
      <c r="B48" s="45" t="s">
        <v>421</v>
      </c>
      <c r="C48" s="45" t="s">
        <v>126</v>
      </c>
      <c r="D48" s="45" t="s">
        <v>55</v>
      </c>
      <c r="E48" s="45" t="s">
        <v>420</v>
      </c>
      <c r="F48" s="53">
        <v>45705</v>
      </c>
      <c r="G48" s="53">
        <v>45749</v>
      </c>
      <c r="H48" s="45" t="s">
        <v>127</v>
      </c>
      <c r="I48" s="45" t="s">
        <v>404</v>
      </c>
      <c r="J48" s="45" t="s">
        <v>402</v>
      </c>
      <c r="K48" s="45">
        <v>1</v>
      </c>
      <c r="L48" s="58">
        <v>44</v>
      </c>
    </row>
    <row r="49" spans="1:12" hidden="1" x14ac:dyDescent="0.25">
      <c r="A49" s="44">
        <v>101633804</v>
      </c>
      <c r="B49" s="46" t="s">
        <v>150</v>
      </c>
      <c r="C49" s="46" t="s">
        <v>94</v>
      </c>
      <c r="D49" s="46" t="s">
        <v>55</v>
      </c>
      <c r="E49" s="46" t="s">
        <v>418</v>
      </c>
      <c r="F49" s="54">
        <v>45733</v>
      </c>
      <c r="G49" s="54">
        <v>45831</v>
      </c>
      <c r="H49" s="46" t="s">
        <v>127</v>
      </c>
      <c r="I49" s="46" t="s">
        <v>404</v>
      </c>
      <c r="J49" s="46" t="s">
        <v>402</v>
      </c>
      <c r="K49" s="46">
        <v>1</v>
      </c>
      <c r="L49" s="56">
        <v>98</v>
      </c>
    </row>
    <row r="50" spans="1:12" hidden="1" x14ac:dyDescent="0.25">
      <c r="A50" s="43">
        <v>101634402</v>
      </c>
      <c r="B50" s="45" t="s">
        <v>155</v>
      </c>
      <c r="C50" s="45" t="s">
        <v>126</v>
      </c>
      <c r="D50" s="45" t="s">
        <v>55</v>
      </c>
      <c r="E50" s="45" t="s">
        <v>410</v>
      </c>
      <c r="F50" s="53">
        <v>45733</v>
      </c>
      <c r="G50" s="53">
        <v>45875</v>
      </c>
      <c r="H50" s="45" t="s">
        <v>127</v>
      </c>
      <c r="I50" s="45" t="s">
        <v>404</v>
      </c>
      <c r="J50" s="45" t="s">
        <v>413</v>
      </c>
      <c r="K50" s="45">
        <v>0</v>
      </c>
      <c r="L50" s="58" t="s">
        <v>405</v>
      </c>
    </row>
    <row r="51" spans="1:12" hidden="1" x14ac:dyDescent="0.25">
      <c r="A51" s="44">
        <v>101635090</v>
      </c>
      <c r="B51" s="46" t="s">
        <v>162</v>
      </c>
      <c r="C51" s="46" t="s">
        <v>126</v>
      </c>
      <c r="D51" s="46" t="s">
        <v>55</v>
      </c>
      <c r="E51" s="46" t="s">
        <v>422</v>
      </c>
      <c r="F51" s="54">
        <v>45733</v>
      </c>
      <c r="G51" s="54">
        <v>45867</v>
      </c>
      <c r="H51" s="46" t="s">
        <v>127</v>
      </c>
      <c r="I51" s="46" t="s">
        <v>404</v>
      </c>
      <c r="J51" s="46" t="s">
        <v>413</v>
      </c>
      <c r="K51" s="46">
        <v>0</v>
      </c>
      <c r="L51" s="56" t="s">
        <v>405</v>
      </c>
    </row>
    <row r="52" spans="1:12" hidden="1" x14ac:dyDescent="0.25">
      <c r="A52" s="43">
        <v>101635091</v>
      </c>
      <c r="B52" s="45" t="s">
        <v>165</v>
      </c>
      <c r="C52" s="45" t="s">
        <v>94</v>
      </c>
      <c r="D52" s="45" t="s">
        <v>55</v>
      </c>
      <c r="E52" s="45" t="s">
        <v>417</v>
      </c>
      <c r="F52" s="53">
        <v>45754</v>
      </c>
      <c r="G52" s="53">
        <v>45929</v>
      </c>
      <c r="H52" s="53">
        <v>45987</v>
      </c>
      <c r="I52" s="45" t="s">
        <v>401</v>
      </c>
      <c r="J52" s="45" t="s">
        <v>413</v>
      </c>
      <c r="K52" s="45">
        <v>0</v>
      </c>
      <c r="L52" s="58" t="s">
        <v>405</v>
      </c>
    </row>
    <row r="53" spans="1:12" hidden="1" x14ac:dyDescent="0.25">
      <c r="A53" s="44">
        <v>101635091</v>
      </c>
      <c r="B53" s="46" t="s">
        <v>165</v>
      </c>
      <c r="C53" s="46" t="s">
        <v>94</v>
      </c>
      <c r="D53" s="46" t="s">
        <v>55</v>
      </c>
      <c r="E53" s="46" t="s">
        <v>423</v>
      </c>
      <c r="F53" s="54">
        <v>45754</v>
      </c>
      <c r="G53" s="54">
        <v>46031</v>
      </c>
      <c r="H53" s="54">
        <v>46052</v>
      </c>
      <c r="I53" s="46" t="s">
        <v>401</v>
      </c>
      <c r="J53" s="46" t="s">
        <v>402</v>
      </c>
      <c r="K53" s="46">
        <v>1</v>
      </c>
      <c r="L53" s="56">
        <v>277</v>
      </c>
    </row>
    <row r="54" spans="1:12" hidden="1" x14ac:dyDescent="0.25">
      <c r="A54" s="43">
        <v>101635091</v>
      </c>
      <c r="B54" s="45" t="s">
        <v>165</v>
      </c>
      <c r="C54" s="45" t="s">
        <v>94</v>
      </c>
      <c r="D54" s="45" t="s">
        <v>55</v>
      </c>
      <c r="E54" s="45" t="s">
        <v>409</v>
      </c>
      <c r="F54" s="53">
        <v>45754</v>
      </c>
      <c r="G54" s="53">
        <v>46090</v>
      </c>
      <c r="H54" s="53">
        <v>46568</v>
      </c>
      <c r="I54" s="45" t="s">
        <v>404</v>
      </c>
      <c r="J54" s="45" t="s">
        <v>402</v>
      </c>
      <c r="K54" s="45" t="s">
        <v>127</v>
      </c>
      <c r="L54" s="58" t="s">
        <v>405</v>
      </c>
    </row>
    <row r="55" spans="1:12" hidden="1" x14ac:dyDescent="0.25">
      <c r="A55" s="47">
        <v>101635235</v>
      </c>
      <c r="B55" s="46" t="s">
        <v>170</v>
      </c>
      <c r="C55" s="46" t="s">
        <v>56</v>
      </c>
      <c r="D55" s="46" t="s">
        <v>72</v>
      </c>
      <c r="E55" s="46" t="s">
        <v>422</v>
      </c>
      <c r="F55" s="54">
        <v>45754</v>
      </c>
      <c r="G55" s="54">
        <v>45758</v>
      </c>
      <c r="H55" s="54">
        <v>45827</v>
      </c>
      <c r="I55" s="46" t="s">
        <v>401</v>
      </c>
      <c r="J55" s="46" t="s">
        <v>402</v>
      </c>
      <c r="K55" s="46">
        <v>1</v>
      </c>
      <c r="L55" s="56">
        <v>4</v>
      </c>
    </row>
    <row r="56" spans="1:12" hidden="1" x14ac:dyDescent="0.25">
      <c r="A56" s="43">
        <v>101635284</v>
      </c>
      <c r="B56" s="45" t="s">
        <v>173</v>
      </c>
      <c r="C56" s="45" t="s">
        <v>56</v>
      </c>
      <c r="D56" s="45" t="s">
        <v>116</v>
      </c>
      <c r="E56" s="45" t="s">
        <v>424</v>
      </c>
      <c r="F56" s="53">
        <v>45733</v>
      </c>
      <c r="G56" s="53">
        <v>45859</v>
      </c>
      <c r="H56" s="45" t="s">
        <v>127</v>
      </c>
      <c r="I56" s="45" t="s">
        <v>404</v>
      </c>
      <c r="J56" s="45" t="s">
        <v>413</v>
      </c>
      <c r="K56" s="45">
        <v>0</v>
      </c>
      <c r="L56" s="58" t="s">
        <v>405</v>
      </c>
    </row>
    <row r="57" spans="1:12" hidden="1" x14ac:dyDescent="0.25">
      <c r="A57" s="44">
        <v>101638426</v>
      </c>
      <c r="B57" s="46" t="s">
        <v>182</v>
      </c>
      <c r="C57" s="46" t="s">
        <v>126</v>
      </c>
      <c r="D57" s="46" t="s">
        <v>116</v>
      </c>
      <c r="E57" s="46" t="s">
        <v>425</v>
      </c>
      <c r="F57" s="54">
        <v>45782</v>
      </c>
      <c r="G57" s="54">
        <v>45852</v>
      </c>
      <c r="H57" s="54">
        <v>45991</v>
      </c>
      <c r="I57" s="46" t="s">
        <v>401</v>
      </c>
      <c r="J57" s="46" t="s">
        <v>402</v>
      </c>
      <c r="K57" s="46">
        <v>1</v>
      </c>
      <c r="L57" s="56">
        <v>70</v>
      </c>
    </row>
    <row r="58" spans="1:12" hidden="1" x14ac:dyDescent="0.25">
      <c r="A58" s="43">
        <v>101638426</v>
      </c>
      <c r="B58" s="45" t="s">
        <v>182</v>
      </c>
      <c r="C58" s="45" t="s">
        <v>126</v>
      </c>
      <c r="D58" s="45" t="s">
        <v>116</v>
      </c>
      <c r="E58" s="45" t="s">
        <v>426</v>
      </c>
      <c r="F58" s="53">
        <v>45782</v>
      </c>
      <c r="G58" s="53">
        <v>46077</v>
      </c>
      <c r="H58" s="45" t="s">
        <v>127</v>
      </c>
      <c r="I58" s="45" t="s">
        <v>404</v>
      </c>
      <c r="J58" s="45" t="s">
        <v>402</v>
      </c>
      <c r="K58" s="45" t="s">
        <v>127</v>
      </c>
      <c r="L58" s="58" t="s">
        <v>405</v>
      </c>
    </row>
    <row r="59" spans="1:12" hidden="1" x14ac:dyDescent="0.25">
      <c r="A59" s="44">
        <v>101638501</v>
      </c>
      <c r="B59" s="46" t="s">
        <v>187</v>
      </c>
      <c r="C59" s="46" t="s">
        <v>94</v>
      </c>
      <c r="D59" s="46" t="s">
        <v>55</v>
      </c>
      <c r="E59" s="46" t="s">
        <v>418</v>
      </c>
      <c r="F59" s="54">
        <v>45754</v>
      </c>
      <c r="G59" s="54">
        <v>45831</v>
      </c>
      <c r="H59" s="46" t="s">
        <v>127</v>
      </c>
      <c r="I59" s="46" t="s">
        <v>404</v>
      </c>
      <c r="J59" s="46" t="s">
        <v>402</v>
      </c>
      <c r="K59" s="46">
        <v>1</v>
      </c>
      <c r="L59" s="56">
        <v>77</v>
      </c>
    </row>
    <row r="60" spans="1:12" hidden="1" x14ac:dyDescent="0.25">
      <c r="A60" s="43">
        <v>101640848</v>
      </c>
      <c r="B60" s="45" t="s">
        <v>190</v>
      </c>
      <c r="C60" s="45" t="s">
        <v>126</v>
      </c>
      <c r="D60" s="45" t="s">
        <v>55</v>
      </c>
      <c r="E60" s="45" t="s">
        <v>414</v>
      </c>
      <c r="F60" s="53">
        <v>45754</v>
      </c>
      <c r="G60" s="53">
        <v>45868</v>
      </c>
      <c r="H60" s="53">
        <v>45912</v>
      </c>
      <c r="I60" s="45" t="s">
        <v>401</v>
      </c>
      <c r="J60" s="45" t="s">
        <v>413</v>
      </c>
      <c r="K60" s="45">
        <v>0</v>
      </c>
      <c r="L60" s="58" t="s">
        <v>405</v>
      </c>
    </row>
    <row r="61" spans="1:12" hidden="1" x14ac:dyDescent="0.25">
      <c r="A61" s="44">
        <v>101640848</v>
      </c>
      <c r="B61" s="46" t="s">
        <v>190</v>
      </c>
      <c r="C61" s="46" t="s">
        <v>126</v>
      </c>
      <c r="D61" s="46" t="s">
        <v>55</v>
      </c>
      <c r="E61" s="46" t="s">
        <v>403</v>
      </c>
      <c r="F61" s="54">
        <v>45754</v>
      </c>
      <c r="G61" s="54">
        <v>46069</v>
      </c>
      <c r="H61" s="46" t="s">
        <v>127</v>
      </c>
      <c r="I61" s="46" t="s">
        <v>404</v>
      </c>
      <c r="J61" s="46" t="s">
        <v>402</v>
      </c>
      <c r="K61" s="46">
        <v>1</v>
      </c>
      <c r="L61" s="56">
        <v>315</v>
      </c>
    </row>
    <row r="62" spans="1:12" hidden="1" x14ac:dyDescent="0.25">
      <c r="A62" s="43">
        <v>101648043</v>
      </c>
      <c r="B62" s="45" t="s">
        <v>193</v>
      </c>
      <c r="C62" s="45" t="s">
        <v>159</v>
      </c>
      <c r="D62" s="45" t="s">
        <v>116</v>
      </c>
      <c r="E62" s="45" t="s">
        <v>410</v>
      </c>
      <c r="F62" s="53">
        <v>45782</v>
      </c>
      <c r="G62" s="53">
        <v>45873</v>
      </c>
      <c r="H62" s="53">
        <v>45961</v>
      </c>
      <c r="I62" s="45" t="s">
        <v>401</v>
      </c>
      <c r="J62" s="45" t="s">
        <v>413</v>
      </c>
      <c r="K62" s="45">
        <v>0</v>
      </c>
      <c r="L62" s="58" t="s">
        <v>405</v>
      </c>
    </row>
    <row r="63" spans="1:12" hidden="1" x14ac:dyDescent="0.25">
      <c r="A63" s="44">
        <v>101648043</v>
      </c>
      <c r="B63" s="46" t="s">
        <v>193</v>
      </c>
      <c r="C63" s="46" t="s">
        <v>159</v>
      </c>
      <c r="D63" s="46" t="s">
        <v>116</v>
      </c>
      <c r="E63" s="46" t="s">
        <v>410</v>
      </c>
      <c r="F63" s="54">
        <v>45782</v>
      </c>
      <c r="G63" s="54">
        <v>45964</v>
      </c>
      <c r="H63" s="46" t="s">
        <v>127</v>
      </c>
      <c r="I63" s="46" t="s">
        <v>404</v>
      </c>
      <c r="J63" s="46" t="s">
        <v>402</v>
      </c>
      <c r="K63" s="46">
        <v>1</v>
      </c>
      <c r="L63" s="56">
        <v>182</v>
      </c>
    </row>
    <row r="64" spans="1:12" hidden="1" x14ac:dyDescent="0.25">
      <c r="A64" s="43">
        <v>101648043</v>
      </c>
      <c r="B64" s="45" t="s">
        <v>193</v>
      </c>
      <c r="C64" s="45" t="s">
        <v>159</v>
      </c>
      <c r="D64" s="45" t="s">
        <v>116</v>
      </c>
      <c r="E64" s="45" t="s">
        <v>412</v>
      </c>
      <c r="F64" s="53">
        <v>45782</v>
      </c>
      <c r="G64" s="53">
        <v>46175</v>
      </c>
      <c r="H64" s="45" t="s">
        <v>127</v>
      </c>
      <c r="I64" s="45" t="s">
        <v>404</v>
      </c>
      <c r="J64" s="45" t="s">
        <v>402</v>
      </c>
      <c r="K64" s="45" t="s">
        <v>127</v>
      </c>
      <c r="L64" s="58" t="s">
        <v>405</v>
      </c>
    </row>
    <row r="65" spans="1:12" hidden="1" x14ac:dyDescent="0.25">
      <c r="A65" s="44">
        <v>101649621</v>
      </c>
      <c r="B65" s="46" t="s">
        <v>196</v>
      </c>
      <c r="C65" s="46" t="s">
        <v>126</v>
      </c>
      <c r="D65" s="46" t="s">
        <v>116</v>
      </c>
      <c r="E65" s="46" t="s">
        <v>425</v>
      </c>
      <c r="F65" s="54">
        <v>45782</v>
      </c>
      <c r="G65" s="54">
        <v>45916</v>
      </c>
      <c r="H65" s="54">
        <v>45954</v>
      </c>
      <c r="I65" s="46" t="s">
        <v>401</v>
      </c>
      <c r="J65" s="46" t="s">
        <v>413</v>
      </c>
      <c r="K65" s="46">
        <v>0</v>
      </c>
      <c r="L65" s="56" t="s">
        <v>405</v>
      </c>
    </row>
    <row r="66" spans="1:12" hidden="1" x14ac:dyDescent="0.25">
      <c r="A66" s="43">
        <v>101649621</v>
      </c>
      <c r="B66" s="45" t="s">
        <v>196</v>
      </c>
      <c r="C66" s="45" t="s">
        <v>126</v>
      </c>
      <c r="D66" s="45" t="s">
        <v>116</v>
      </c>
      <c r="E66" s="45" t="s">
        <v>427</v>
      </c>
      <c r="F66" s="53">
        <v>45782</v>
      </c>
      <c r="G66" s="53">
        <v>45957</v>
      </c>
      <c r="H66" s="45" t="s">
        <v>127</v>
      </c>
      <c r="I66" s="45" t="s">
        <v>404</v>
      </c>
      <c r="J66" s="45" t="s">
        <v>402</v>
      </c>
      <c r="K66" s="45">
        <v>1</v>
      </c>
      <c r="L66" s="58">
        <v>175</v>
      </c>
    </row>
    <row r="67" spans="1:12" hidden="1" x14ac:dyDescent="0.25">
      <c r="A67" s="44">
        <v>101649640</v>
      </c>
      <c r="B67" s="46" t="s">
        <v>202</v>
      </c>
      <c r="C67" s="46" t="s">
        <v>126</v>
      </c>
      <c r="D67" s="46" t="s">
        <v>55</v>
      </c>
      <c r="E67" s="46" t="s">
        <v>420</v>
      </c>
      <c r="F67" s="54">
        <v>45782</v>
      </c>
      <c r="G67" s="54">
        <v>45866</v>
      </c>
      <c r="H67" s="54">
        <v>45982</v>
      </c>
      <c r="I67" s="46" t="s">
        <v>401</v>
      </c>
      <c r="J67" s="46" t="s">
        <v>402</v>
      </c>
      <c r="K67" s="46">
        <v>1</v>
      </c>
      <c r="L67" s="56">
        <v>84</v>
      </c>
    </row>
    <row r="68" spans="1:12" hidden="1" x14ac:dyDescent="0.25">
      <c r="A68" s="43">
        <v>101649640</v>
      </c>
      <c r="B68" s="45" t="s">
        <v>202</v>
      </c>
      <c r="C68" s="45" t="s">
        <v>126</v>
      </c>
      <c r="D68" s="45" t="s">
        <v>55</v>
      </c>
      <c r="E68" s="45" t="s">
        <v>428</v>
      </c>
      <c r="F68" s="53">
        <v>45782</v>
      </c>
      <c r="G68" s="53">
        <v>46069</v>
      </c>
      <c r="H68" s="45" t="s">
        <v>127</v>
      </c>
      <c r="I68" s="45" t="s">
        <v>404</v>
      </c>
      <c r="J68" s="45" t="s">
        <v>402</v>
      </c>
      <c r="K68" s="45">
        <v>2</v>
      </c>
      <c r="L68" s="58" t="s">
        <v>405</v>
      </c>
    </row>
    <row r="69" spans="1:12" hidden="1" x14ac:dyDescent="0.25">
      <c r="A69" s="44">
        <v>101652954</v>
      </c>
      <c r="B69" s="46" t="s">
        <v>205</v>
      </c>
      <c r="C69" s="46" t="s">
        <v>126</v>
      </c>
      <c r="D69" s="46" t="s">
        <v>55</v>
      </c>
      <c r="E69" s="46" t="s">
        <v>422</v>
      </c>
      <c r="F69" s="54">
        <v>45782</v>
      </c>
      <c r="G69" s="54">
        <v>45930</v>
      </c>
      <c r="H69" s="54">
        <v>46017</v>
      </c>
      <c r="I69" s="46" t="s">
        <v>401</v>
      </c>
      <c r="J69" s="46" t="s">
        <v>413</v>
      </c>
      <c r="K69" s="46">
        <v>0</v>
      </c>
      <c r="L69" s="56" t="s">
        <v>405</v>
      </c>
    </row>
    <row r="70" spans="1:12" hidden="1" x14ac:dyDescent="0.25">
      <c r="A70" s="43">
        <v>101652954</v>
      </c>
      <c r="B70" s="45" t="s">
        <v>205</v>
      </c>
      <c r="C70" s="45" t="s">
        <v>126</v>
      </c>
      <c r="D70" s="45" t="s">
        <v>55</v>
      </c>
      <c r="E70" s="45" t="s">
        <v>422</v>
      </c>
      <c r="F70" s="53">
        <v>45782</v>
      </c>
      <c r="G70" s="53">
        <v>46024</v>
      </c>
      <c r="H70" s="45" t="s">
        <v>127</v>
      </c>
      <c r="I70" s="45" t="s">
        <v>404</v>
      </c>
      <c r="J70" s="45" t="s">
        <v>402</v>
      </c>
      <c r="K70" s="45">
        <v>1</v>
      </c>
      <c r="L70" s="58">
        <v>242</v>
      </c>
    </row>
    <row r="71" spans="1:12" hidden="1" x14ac:dyDescent="0.25">
      <c r="A71" s="44">
        <v>101655941</v>
      </c>
      <c r="B71" s="46" t="s">
        <v>213</v>
      </c>
      <c r="C71" s="46" t="s">
        <v>126</v>
      </c>
      <c r="D71" s="46" t="s">
        <v>55</v>
      </c>
      <c r="E71" s="46" t="s">
        <v>422</v>
      </c>
      <c r="F71" s="54">
        <v>45824</v>
      </c>
      <c r="G71" s="54">
        <v>45867</v>
      </c>
      <c r="H71" s="54">
        <v>46063</v>
      </c>
      <c r="I71" s="46" t="s">
        <v>401</v>
      </c>
      <c r="J71" s="46" t="s">
        <v>413</v>
      </c>
      <c r="K71" s="46">
        <v>0</v>
      </c>
      <c r="L71" s="56" t="s">
        <v>405</v>
      </c>
    </row>
    <row r="72" spans="1:12" hidden="1" x14ac:dyDescent="0.25">
      <c r="A72" s="43">
        <v>101655941</v>
      </c>
      <c r="B72" s="45" t="s">
        <v>213</v>
      </c>
      <c r="C72" s="45" t="s">
        <v>126</v>
      </c>
      <c r="D72" s="45" t="s">
        <v>55</v>
      </c>
      <c r="E72" s="45" t="s">
        <v>422</v>
      </c>
      <c r="F72" s="53">
        <v>45824</v>
      </c>
      <c r="G72" s="53">
        <v>46064</v>
      </c>
      <c r="H72" s="45" t="s">
        <v>127</v>
      </c>
      <c r="I72" s="45" t="s">
        <v>404</v>
      </c>
      <c r="J72" s="45" t="s">
        <v>402</v>
      </c>
      <c r="K72" s="45">
        <v>1</v>
      </c>
      <c r="L72" s="58">
        <v>240</v>
      </c>
    </row>
    <row r="73" spans="1:12" hidden="1" x14ac:dyDescent="0.25">
      <c r="A73" s="44">
        <v>101655942</v>
      </c>
      <c r="B73" s="46" t="s">
        <v>216</v>
      </c>
      <c r="C73" s="46" t="s">
        <v>126</v>
      </c>
      <c r="D73" s="46" t="s">
        <v>55</v>
      </c>
      <c r="E73" s="46" t="s">
        <v>410</v>
      </c>
      <c r="F73" s="54">
        <v>46113</v>
      </c>
      <c r="G73" s="54">
        <v>45875</v>
      </c>
      <c r="H73" s="46" t="s">
        <v>127</v>
      </c>
      <c r="I73" s="46" t="s">
        <v>404</v>
      </c>
      <c r="J73" s="46" t="s">
        <v>413</v>
      </c>
      <c r="K73" s="46">
        <v>0</v>
      </c>
      <c r="L73" s="56" t="s">
        <v>405</v>
      </c>
    </row>
    <row r="74" spans="1:12" hidden="1" x14ac:dyDescent="0.25">
      <c r="A74" s="43">
        <v>101655942</v>
      </c>
      <c r="B74" s="45" t="s">
        <v>216</v>
      </c>
      <c r="C74" s="45" t="s">
        <v>126</v>
      </c>
      <c r="D74" s="45" t="s">
        <v>55</v>
      </c>
      <c r="E74" s="45" t="s">
        <v>403</v>
      </c>
      <c r="F74" s="53">
        <v>46113</v>
      </c>
      <c r="G74" s="53">
        <v>46118</v>
      </c>
      <c r="H74" s="45" t="s">
        <v>127</v>
      </c>
      <c r="I74" s="45" t="s">
        <v>404</v>
      </c>
      <c r="J74" s="45" t="s">
        <v>402</v>
      </c>
      <c r="K74" s="45">
        <v>1</v>
      </c>
      <c r="L74" s="58">
        <v>5</v>
      </c>
    </row>
    <row r="75" spans="1:12" hidden="1" x14ac:dyDescent="0.25">
      <c r="A75" s="44">
        <v>101657418</v>
      </c>
      <c r="B75" s="46" t="s">
        <v>220</v>
      </c>
      <c r="C75" s="46" t="s">
        <v>126</v>
      </c>
      <c r="D75" s="46" t="s">
        <v>55</v>
      </c>
      <c r="E75" s="46" t="s">
        <v>422</v>
      </c>
      <c r="F75" s="54">
        <v>45824</v>
      </c>
      <c r="G75" s="54">
        <v>45867</v>
      </c>
      <c r="H75" s="54">
        <v>45919</v>
      </c>
      <c r="I75" s="46" t="s">
        <v>401</v>
      </c>
      <c r="J75" s="46" t="s">
        <v>413</v>
      </c>
      <c r="K75" s="46">
        <v>0</v>
      </c>
      <c r="L75" s="56" t="s">
        <v>405</v>
      </c>
    </row>
    <row r="76" spans="1:12" hidden="1" x14ac:dyDescent="0.25">
      <c r="A76" s="43">
        <v>101657418</v>
      </c>
      <c r="B76" s="45" t="s">
        <v>220</v>
      </c>
      <c r="C76" s="45" t="s">
        <v>126</v>
      </c>
      <c r="D76" s="45" t="s">
        <v>55</v>
      </c>
      <c r="E76" s="45" t="s">
        <v>428</v>
      </c>
      <c r="F76" s="53">
        <v>45824</v>
      </c>
      <c r="G76" s="53">
        <v>46069</v>
      </c>
      <c r="H76" s="45" t="s">
        <v>127</v>
      </c>
      <c r="I76" s="45" t="s">
        <v>404</v>
      </c>
      <c r="J76" s="45" t="s">
        <v>402</v>
      </c>
      <c r="K76" s="45">
        <v>1</v>
      </c>
      <c r="L76" s="58">
        <v>245</v>
      </c>
    </row>
    <row r="77" spans="1:12" hidden="1" x14ac:dyDescent="0.25">
      <c r="A77" s="44">
        <v>101657797</v>
      </c>
      <c r="B77" s="46" t="s">
        <v>223</v>
      </c>
      <c r="C77" s="46" t="s">
        <v>56</v>
      </c>
      <c r="D77" s="46" t="s">
        <v>55</v>
      </c>
      <c r="E77" s="46" t="s">
        <v>410</v>
      </c>
      <c r="F77" s="54">
        <v>45824</v>
      </c>
      <c r="G77" s="54">
        <v>45867</v>
      </c>
      <c r="H77" s="46" t="s">
        <v>127</v>
      </c>
      <c r="I77" s="46" t="s">
        <v>404</v>
      </c>
      <c r="J77" s="46" t="s">
        <v>402</v>
      </c>
      <c r="K77" s="46">
        <v>1</v>
      </c>
      <c r="L77" s="56">
        <v>43</v>
      </c>
    </row>
    <row r="78" spans="1:12" hidden="1" x14ac:dyDescent="0.25">
      <c r="A78" s="43">
        <v>101663617</v>
      </c>
      <c r="B78" s="45" t="s">
        <v>226</v>
      </c>
      <c r="C78" s="45" t="s">
        <v>227</v>
      </c>
      <c r="D78" s="45" t="s">
        <v>72</v>
      </c>
      <c r="E78" s="45" t="s">
        <v>429</v>
      </c>
      <c r="F78" s="53">
        <v>45824</v>
      </c>
      <c r="G78" s="53">
        <v>46063</v>
      </c>
      <c r="H78" s="53">
        <v>46112</v>
      </c>
      <c r="I78" s="45" t="s">
        <v>401</v>
      </c>
      <c r="J78" s="45" t="s">
        <v>402</v>
      </c>
      <c r="K78" s="45">
        <v>1</v>
      </c>
      <c r="L78" s="58">
        <v>239</v>
      </c>
    </row>
    <row r="79" spans="1:12" hidden="1" x14ac:dyDescent="0.25">
      <c r="A79" s="46">
        <v>101663617</v>
      </c>
      <c r="B79" s="46" t="s">
        <v>226</v>
      </c>
      <c r="C79" s="46" t="s">
        <v>227</v>
      </c>
      <c r="D79" s="46" t="s">
        <v>72</v>
      </c>
      <c r="E79" s="46" t="s">
        <v>412</v>
      </c>
      <c r="F79" s="54">
        <v>45824</v>
      </c>
      <c r="G79" s="54">
        <v>46174</v>
      </c>
      <c r="H79" s="46" t="s">
        <v>127</v>
      </c>
      <c r="I79" s="46" t="s">
        <v>404</v>
      </c>
      <c r="J79" s="46" t="s">
        <v>402</v>
      </c>
      <c r="K79" s="46" t="s">
        <v>127</v>
      </c>
      <c r="L79" s="56" t="s">
        <v>405</v>
      </c>
    </row>
    <row r="80" spans="1:12" hidden="1" x14ac:dyDescent="0.25">
      <c r="A80" s="45">
        <v>101664190</v>
      </c>
      <c r="B80" s="45" t="s">
        <v>230</v>
      </c>
      <c r="C80" s="45" t="s">
        <v>56</v>
      </c>
      <c r="D80" s="45" t="s">
        <v>55</v>
      </c>
      <c r="E80" s="45" t="s">
        <v>403</v>
      </c>
      <c r="F80" s="53">
        <v>45845</v>
      </c>
      <c r="G80" s="53">
        <v>45994</v>
      </c>
      <c r="H80" s="45" t="s">
        <v>127</v>
      </c>
      <c r="I80" s="45" t="s">
        <v>404</v>
      </c>
      <c r="J80" s="45" t="s">
        <v>402</v>
      </c>
      <c r="K80" s="45">
        <v>1</v>
      </c>
      <c r="L80" s="58">
        <v>149</v>
      </c>
    </row>
    <row r="81" spans="1:12" hidden="1" x14ac:dyDescent="0.25">
      <c r="A81" s="44">
        <v>101669383</v>
      </c>
      <c r="B81" s="46" t="s">
        <v>235</v>
      </c>
      <c r="C81" s="46" t="s">
        <v>227</v>
      </c>
      <c r="D81" s="46" t="s">
        <v>116</v>
      </c>
      <c r="E81" s="46" t="s">
        <v>429</v>
      </c>
      <c r="F81" s="54">
        <v>45845</v>
      </c>
      <c r="G81" s="54">
        <v>46027</v>
      </c>
      <c r="H81" s="46" t="s">
        <v>127</v>
      </c>
      <c r="I81" s="46" t="s">
        <v>404</v>
      </c>
      <c r="J81" s="46" t="s">
        <v>402</v>
      </c>
      <c r="K81" s="46">
        <v>1</v>
      </c>
      <c r="L81" s="56">
        <v>182</v>
      </c>
    </row>
    <row r="82" spans="1:12" hidden="1" x14ac:dyDescent="0.25">
      <c r="A82" s="43">
        <v>101669383</v>
      </c>
      <c r="B82" s="45" t="s">
        <v>235</v>
      </c>
      <c r="C82" s="45" t="s">
        <v>227</v>
      </c>
      <c r="D82" s="45" t="s">
        <v>116</v>
      </c>
      <c r="E82" s="45" t="s">
        <v>429</v>
      </c>
      <c r="F82" s="53">
        <v>45989</v>
      </c>
      <c r="G82" s="53">
        <v>46027</v>
      </c>
      <c r="H82" s="45" t="s">
        <v>127</v>
      </c>
      <c r="I82" s="45" t="s">
        <v>404</v>
      </c>
      <c r="J82" s="45" t="s">
        <v>402</v>
      </c>
      <c r="K82" s="45">
        <v>2</v>
      </c>
      <c r="L82" s="58" t="s">
        <v>405</v>
      </c>
    </row>
    <row r="83" spans="1:12" hidden="1" x14ac:dyDescent="0.25">
      <c r="A83" s="44">
        <v>101669389</v>
      </c>
      <c r="B83" s="46" t="s">
        <v>238</v>
      </c>
      <c r="C83" s="46" t="s">
        <v>94</v>
      </c>
      <c r="D83" s="46" t="s">
        <v>55</v>
      </c>
      <c r="E83" s="46" t="s">
        <v>403</v>
      </c>
      <c r="F83" s="54">
        <v>45845</v>
      </c>
      <c r="G83" s="54">
        <v>45976</v>
      </c>
      <c r="H83" s="46" t="s">
        <v>127</v>
      </c>
      <c r="I83" s="46" t="s">
        <v>404</v>
      </c>
      <c r="J83" s="46" t="s">
        <v>402</v>
      </c>
      <c r="K83" s="46">
        <v>1</v>
      </c>
      <c r="L83" s="56">
        <v>131</v>
      </c>
    </row>
    <row r="84" spans="1:12" hidden="1" x14ac:dyDescent="0.25">
      <c r="A84" s="43">
        <v>101669712</v>
      </c>
      <c r="B84" s="45" t="s">
        <v>241</v>
      </c>
      <c r="C84" s="45" t="s">
        <v>227</v>
      </c>
      <c r="D84" s="45" t="s">
        <v>72</v>
      </c>
      <c r="E84" s="45" t="s">
        <v>430</v>
      </c>
      <c r="F84" s="53">
        <v>45873</v>
      </c>
      <c r="G84" s="53">
        <v>46056</v>
      </c>
      <c r="H84" s="45" t="s">
        <v>127</v>
      </c>
      <c r="I84" s="45" t="s">
        <v>404</v>
      </c>
      <c r="J84" s="45" t="s">
        <v>402</v>
      </c>
      <c r="K84" s="45">
        <v>1</v>
      </c>
      <c r="L84" s="58">
        <v>183</v>
      </c>
    </row>
    <row r="85" spans="1:12" hidden="1" x14ac:dyDescent="0.25">
      <c r="A85" s="44">
        <v>101669712</v>
      </c>
      <c r="B85" s="46" t="s">
        <v>241</v>
      </c>
      <c r="C85" s="46" t="s">
        <v>227</v>
      </c>
      <c r="D85" s="46" t="s">
        <v>72</v>
      </c>
      <c r="E85" s="46" t="s">
        <v>412</v>
      </c>
      <c r="F85" s="54">
        <v>45873</v>
      </c>
      <c r="G85" s="54">
        <v>46113</v>
      </c>
      <c r="H85" s="46" t="s">
        <v>127</v>
      </c>
      <c r="I85" s="46" t="s">
        <v>404</v>
      </c>
      <c r="J85" s="46" t="s">
        <v>402</v>
      </c>
      <c r="K85" s="46" t="s">
        <v>127</v>
      </c>
      <c r="L85" s="56" t="s">
        <v>405</v>
      </c>
    </row>
    <row r="86" spans="1:12" hidden="1" x14ac:dyDescent="0.25">
      <c r="A86" s="43">
        <v>101669733</v>
      </c>
      <c r="B86" s="45" t="s">
        <v>246</v>
      </c>
      <c r="C86" s="45" t="s">
        <v>227</v>
      </c>
      <c r="D86" s="45" t="s">
        <v>55</v>
      </c>
      <c r="E86" s="45" t="s">
        <v>425</v>
      </c>
      <c r="F86" s="53">
        <v>45845</v>
      </c>
      <c r="G86" s="53">
        <v>45922</v>
      </c>
      <c r="H86" s="53">
        <v>45933</v>
      </c>
      <c r="I86" s="45" t="s">
        <v>401</v>
      </c>
      <c r="J86" s="45" t="s">
        <v>402</v>
      </c>
      <c r="K86" s="45">
        <v>1</v>
      </c>
      <c r="L86" s="58">
        <v>77</v>
      </c>
    </row>
    <row r="87" spans="1:12" hidden="1" x14ac:dyDescent="0.25">
      <c r="A87" s="44">
        <v>101669733</v>
      </c>
      <c r="B87" s="46" t="s">
        <v>246</v>
      </c>
      <c r="C87" s="46" t="s">
        <v>227</v>
      </c>
      <c r="D87" s="46" t="s">
        <v>55</v>
      </c>
      <c r="E87" s="46" t="s">
        <v>409</v>
      </c>
      <c r="F87" s="54">
        <v>45933</v>
      </c>
      <c r="G87" s="54">
        <v>46027</v>
      </c>
      <c r="H87" s="46" t="s">
        <v>127</v>
      </c>
      <c r="I87" s="46" t="s">
        <v>404</v>
      </c>
      <c r="J87" s="46" t="s">
        <v>402</v>
      </c>
      <c r="K87" s="46">
        <v>2</v>
      </c>
      <c r="L87" s="56" t="s">
        <v>405</v>
      </c>
    </row>
    <row r="88" spans="1:12" hidden="1" x14ac:dyDescent="0.25">
      <c r="A88" s="43">
        <v>101676507</v>
      </c>
      <c r="B88" s="45" t="s">
        <v>249</v>
      </c>
      <c r="C88" s="45" t="s">
        <v>94</v>
      </c>
      <c r="D88" s="45" t="s">
        <v>250</v>
      </c>
      <c r="E88" s="45" t="s">
        <v>403</v>
      </c>
      <c r="F88" s="53">
        <v>45873</v>
      </c>
      <c r="G88" s="53">
        <v>46042</v>
      </c>
      <c r="H88" s="53">
        <v>46147</v>
      </c>
      <c r="I88" s="45" t="s">
        <v>401</v>
      </c>
      <c r="J88" s="45" t="s">
        <v>402</v>
      </c>
      <c r="K88" s="45">
        <v>1</v>
      </c>
      <c r="L88" s="58">
        <v>169</v>
      </c>
    </row>
    <row r="89" spans="1:12" hidden="1" x14ac:dyDescent="0.25">
      <c r="A89" s="44">
        <v>101676507</v>
      </c>
      <c r="B89" s="46" t="s">
        <v>249</v>
      </c>
      <c r="C89" s="46" t="s">
        <v>94</v>
      </c>
      <c r="D89" s="46" t="s">
        <v>250</v>
      </c>
      <c r="E89" s="46" t="s">
        <v>412</v>
      </c>
      <c r="F89" s="54">
        <v>45873</v>
      </c>
      <c r="G89" s="54">
        <v>46148</v>
      </c>
      <c r="H89" s="46" t="s">
        <v>127</v>
      </c>
      <c r="I89" s="46" t="s">
        <v>404</v>
      </c>
      <c r="J89" s="46" t="s">
        <v>402</v>
      </c>
      <c r="K89" s="46" t="s">
        <v>127</v>
      </c>
      <c r="L89" s="56" t="s">
        <v>405</v>
      </c>
    </row>
    <row r="90" spans="1:12" hidden="1" x14ac:dyDescent="0.25">
      <c r="A90" s="43">
        <v>101676514</v>
      </c>
      <c r="B90" s="45" t="s">
        <v>253</v>
      </c>
      <c r="C90" s="45" t="s">
        <v>94</v>
      </c>
      <c r="D90" s="45" t="s">
        <v>116</v>
      </c>
      <c r="E90" s="45" t="s">
        <v>409</v>
      </c>
      <c r="F90" s="53">
        <v>45901</v>
      </c>
      <c r="G90" s="53">
        <v>46027</v>
      </c>
      <c r="H90" s="53">
        <v>46045</v>
      </c>
      <c r="I90" s="45" t="s">
        <v>401</v>
      </c>
      <c r="J90" s="45" t="s">
        <v>413</v>
      </c>
      <c r="K90" s="45">
        <v>0</v>
      </c>
      <c r="L90" s="58" t="s">
        <v>405</v>
      </c>
    </row>
    <row r="91" spans="1:12" hidden="1" x14ac:dyDescent="0.25">
      <c r="A91" s="44">
        <v>101676514</v>
      </c>
      <c r="B91" s="46" t="s">
        <v>253</v>
      </c>
      <c r="C91" s="46" t="s">
        <v>94</v>
      </c>
      <c r="D91" s="46" t="s">
        <v>116</v>
      </c>
      <c r="E91" s="46" t="s">
        <v>409</v>
      </c>
      <c r="F91" s="54">
        <v>45901</v>
      </c>
      <c r="G91" s="54">
        <v>46048</v>
      </c>
      <c r="H91" s="46" t="s">
        <v>127</v>
      </c>
      <c r="I91" s="46" t="s">
        <v>404</v>
      </c>
      <c r="J91" s="46" t="s">
        <v>402</v>
      </c>
      <c r="K91" s="46">
        <v>1</v>
      </c>
      <c r="L91" s="56">
        <v>147</v>
      </c>
    </row>
    <row r="92" spans="1:12" hidden="1" x14ac:dyDescent="0.25">
      <c r="A92" s="43">
        <v>101676514</v>
      </c>
      <c r="B92" s="45" t="s">
        <v>253</v>
      </c>
      <c r="C92" s="45" t="s">
        <v>94</v>
      </c>
      <c r="D92" s="45" t="s">
        <v>116</v>
      </c>
      <c r="E92" s="45" t="s">
        <v>414</v>
      </c>
      <c r="F92" s="53">
        <v>45901</v>
      </c>
      <c r="G92" s="53">
        <v>46113</v>
      </c>
      <c r="H92" s="45" t="s">
        <v>127</v>
      </c>
      <c r="I92" s="45" t="s">
        <v>404</v>
      </c>
      <c r="J92" s="45" t="s">
        <v>402</v>
      </c>
      <c r="K92" s="45" t="s">
        <v>127</v>
      </c>
      <c r="L92" s="58" t="s">
        <v>405</v>
      </c>
    </row>
    <row r="93" spans="1:12" hidden="1" x14ac:dyDescent="0.25">
      <c r="A93" s="44">
        <v>101676517</v>
      </c>
      <c r="B93" s="46" t="s">
        <v>258</v>
      </c>
      <c r="C93" s="46" t="s">
        <v>94</v>
      </c>
      <c r="D93" s="46" t="s">
        <v>116</v>
      </c>
      <c r="E93" s="46" t="s">
        <v>403</v>
      </c>
      <c r="F93" s="54">
        <v>45901</v>
      </c>
      <c r="G93" s="54">
        <v>46043</v>
      </c>
      <c r="H93" s="46" t="s">
        <v>127</v>
      </c>
      <c r="I93" s="46" t="s">
        <v>404</v>
      </c>
      <c r="J93" s="46" t="s">
        <v>402</v>
      </c>
      <c r="K93" s="46">
        <v>1</v>
      </c>
      <c r="L93" s="56">
        <v>142</v>
      </c>
    </row>
    <row r="94" spans="1:12" hidden="1" x14ac:dyDescent="0.25">
      <c r="A94" s="43">
        <v>101683653</v>
      </c>
      <c r="B94" s="45" t="s">
        <v>261</v>
      </c>
      <c r="C94" s="45" t="s">
        <v>227</v>
      </c>
      <c r="D94" s="45" t="s">
        <v>250</v>
      </c>
      <c r="E94" s="45" t="s">
        <v>431</v>
      </c>
      <c r="F94" s="53">
        <v>45901</v>
      </c>
      <c r="G94" s="53">
        <v>46000</v>
      </c>
      <c r="H94" s="45" t="s">
        <v>127</v>
      </c>
      <c r="I94" s="45" t="s">
        <v>404</v>
      </c>
      <c r="J94" s="45" t="s">
        <v>402</v>
      </c>
      <c r="K94" s="45">
        <v>1</v>
      </c>
      <c r="L94" s="58">
        <v>99</v>
      </c>
    </row>
    <row r="95" spans="1:12" hidden="1" x14ac:dyDescent="0.25">
      <c r="A95" s="48">
        <v>101688371</v>
      </c>
      <c r="B95" s="46" t="s">
        <v>264</v>
      </c>
      <c r="C95" s="46" t="s">
        <v>227</v>
      </c>
      <c r="D95" s="46" t="s">
        <v>72</v>
      </c>
      <c r="E95" s="46" t="s">
        <v>412</v>
      </c>
      <c r="F95" s="54">
        <v>45901</v>
      </c>
      <c r="G95" s="54">
        <v>46177</v>
      </c>
      <c r="H95" s="46" t="s">
        <v>127</v>
      </c>
      <c r="I95" s="46" t="s">
        <v>404</v>
      </c>
      <c r="J95" s="46" t="s">
        <v>402</v>
      </c>
      <c r="K95" s="46" t="s">
        <v>127</v>
      </c>
      <c r="L95" s="56" t="s">
        <v>405</v>
      </c>
    </row>
    <row r="96" spans="1:12" hidden="1" x14ac:dyDescent="0.25">
      <c r="A96" s="43">
        <v>101693426</v>
      </c>
      <c r="B96" s="45" t="s">
        <v>267</v>
      </c>
      <c r="C96" s="45" t="s">
        <v>94</v>
      </c>
      <c r="D96" s="45" t="s">
        <v>72</v>
      </c>
      <c r="E96" s="45" t="s">
        <v>409</v>
      </c>
      <c r="F96" s="53">
        <v>45936</v>
      </c>
      <c r="G96" s="53">
        <v>46049</v>
      </c>
      <c r="H96" s="53">
        <v>46113</v>
      </c>
      <c r="I96" s="45" t="s">
        <v>401</v>
      </c>
      <c r="J96" s="45" t="s">
        <v>413</v>
      </c>
      <c r="K96" s="45">
        <v>0</v>
      </c>
      <c r="L96" s="58" t="s">
        <v>405</v>
      </c>
    </row>
    <row r="97" spans="1:12" hidden="1" x14ac:dyDescent="0.25">
      <c r="A97" s="44">
        <v>101693426</v>
      </c>
      <c r="B97" s="46" t="s">
        <v>267</v>
      </c>
      <c r="C97" s="46" t="s">
        <v>94</v>
      </c>
      <c r="D97" s="46" t="s">
        <v>72</v>
      </c>
      <c r="E97" s="46" t="s">
        <v>412</v>
      </c>
      <c r="F97" s="54">
        <v>45936</v>
      </c>
      <c r="G97" s="54">
        <v>46087</v>
      </c>
      <c r="H97" s="54">
        <v>46153</v>
      </c>
      <c r="I97" s="46" t="s">
        <v>401</v>
      </c>
      <c r="J97" s="68" t="s">
        <v>413</v>
      </c>
      <c r="K97" s="46" t="s">
        <v>127</v>
      </c>
      <c r="L97" s="69" t="s">
        <v>405</v>
      </c>
    </row>
    <row r="98" spans="1:12" hidden="1" x14ac:dyDescent="0.25">
      <c r="A98" s="43">
        <v>101693426</v>
      </c>
      <c r="B98" s="45" t="s">
        <v>267</v>
      </c>
      <c r="C98" s="45" t="s">
        <v>94</v>
      </c>
      <c r="D98" s="45" t="s">
        <v>72</v>
      </c>
      <c r="E98" s="45" t="s">
        <v>415</v>
      </c>
      <c r="F98" s="53">
        <v>45936</v>
      </c>
      <c r="G98" s="53">
        <v>46111</v>
      </c>
      <c r="H98" s="53">
        <v>46150</v>
      </c>
      <c r="I98" s="45" t="s">
        <v>401</v>
      </c>
      <c r="J98" s="45" t="s">
        <v>402</v>
      </c>
      <c r="K98" s="45" t="s">
        <v>127</v>
      </c>
      <c r="L98" s="58" t="s">
        <v>405</v>
      </c>
    </row>
    <row r="99" spans="1:12" hidden="1" x14ac:dyDescent="0.25">
      <c r="A99" s="49">
        <v>101693426</v>
      </c>
      <c r="B99" s="37" t="s">
        <v>267</v>
      </c>
      <c r="C99" s="37" t="s">
        <v>94</v>
      </c>
      <c r="D99" s="46" t="s">
        <v>72</v>
      </c>
      <c r="E99" s="37" t="s">
        <v>412</v>
      </c>
      <c r="F99" s="55">
        <v>45936</v>
      </c>
      <c r="G99" s="55">
        <v>46148</v>
      </c>
      <c r="H99" s="37" t="s">
        <v>127</v>
      </c>
      <c r="I99" s="46" t="s">
        <v>404</v>
      </c>
      <c r="J99" s="37" t="s">
        <v>402</v>
      </c>
      <c r="K99" s="37" t="s">
        <v>127</v>
      </c>
      <c r="L99" s="21" t="s">
        <v>405</v>
      </c>
    </row>
    <row r="100" spans="1:12" hidden="1" x14ac:dyDescent="0.25">
      <c r="A100" s="43">
        <v>101704214</v>
      </c>
      <c r="B100" s="45" t="s">
        <v>272</v>
      </c>
      <c r="C100" s="45" t="s">
        <v>94</v>
      </c>
      <c r="D100" s="45" t="s">
        <v>72</v>
      </c>
      <c r="E100" s="45" t="s">
        <v>412</v>
      </c>
      <c r="F100" s="53">
        <v>45936</v>
      </c>
      <c r="G100" s="53">
        <v>46083</v>
      </c>
      <c r="H100" s="45" t="s">
        <v>127</v>
      </c>
      <c r="I100" s="45" t="s">
        <v>404</v>
      </c>
      <c r="J100" s="66" t="s">
        <v>402</v>
      </c>
      <c r="K100" s="45">
        <v>1</v>
      </c>
      <c r="L100" s="67">
        <v>147</v>
      </c>
    </row>
    <row r="101" spans="1:12" hidden="1" x14ac:dyDescent="0.25">
      <c r="A101" s="44">
        <v>101704297</v>
      </c>
      <c r="B101" s="46" t="s">
        <v>275</v>
      </c>
      <c r="C101" s="46" t="s">
        <v>227</v>
      </c>
      <c r="D101" s="46" t="s">
        <v>72</v>
      </c>
      <c r="E101" s="46" t="s">
        <v>430</v>
      </c>
      <c r="F101" s="54">
        <v>45936</v>
      </c>
      <c r="G101" s="54">
        <v>46056</v>
      </c>
      <c r="H101" s="46" t="s">
        <v>127</v>
      </c>
      <c r="I101" s="46" t="s">
        <v>404</v>
      </c>
      <c r="J101" s="46" t="s">
        <v>402</v>
      </c>
      <c r="K101" s="46">
        <v>1</v>
      </c>
      <c r="L101" s="56">
        <v>120</v>
      </c>
    </row>
    <row r="102" spans="1:12" hidden="1" x14ac:dyDescent="0.25">
      <c r="A102" s="43">
        <v>101707086</v>
      </c>
      <c r="B102" s="45" t="s">
        <v>278</v>
      </c>
      <c r="C102" s="45" t="s">
        <v>56</v>
      </c>
      <c r="D102" s="45" t="s">
        <v>250</v>
      </c>
      <c r="E102" s="45" t="s">
        <v>409</v>
      </c>
      <c r="F102" s="53">
        <v>45992</v>
      </c>
      <c r="G102" s="53">
        <v>46035</v>
      </c>
      <c r="H102" s="45" t="s">
        <v>127</v>
      </c>
      <c r="I102" s="45" t="s">
        <v>404</v>
      </c>
      <c r="J102" s="45" t="s">
        <v>402</v>
      </c>
      <c r="K102" s="45">
        <v>1</v>
      </c>
      <c r="L102" s="58">
        <v>43</v>
      </c>
    </row>
    <row r="103" spans="1:12" hidden="1" x14ac:dyDescent="0.25">
      <c r="A103" s="44">
        <v>101708475</v>
      </c>
      <c r="B103" s="56" t="s">
        <v>283</v>
      </c>
      <c r="C103" s="56" t="s">
        <v>94</v>
      </c>
      <c r="D103" s="46" t="s">
        <v>72</v>
      </c>
      <c r="E103" s="46" t="s">
        <v>432</v>
      </c>
      <c r="F103" s="57">
        <v>45936</v>
      </c>
      <c r="G103" s="57">
        <v>46057</v>
      </c>
      <c r="H103" s="46" t="s">
        <v>127</v>
      </c>
      <c r="I103" s="46" t="s">
        <v>404</v>
      </c>
      <c r="J103" s="46" t="s">
        <v>402</v>
      </c>
      <c r="K103" s="46">
        <v>1</v>
      </c>
      <c r="L103" s="56">
        <v>121</v>
      </c>
    </row>
    <row r="104" spans="1:12" hidden="1" x14ac:dyDescent="0.25">
      <c r="A104" s="43">
        <v>101713721</v>
      </c>
      <c r="B104" s="58" t="s">
        <v>286</v>
      </c>
      <c r="C104" s="58" t="s">
        <v>126</v>
      </c>
      <c r="D104" s="45" t="s">
        <v>72</v>
      </c>
      <c r="E104" s="45" t="s">
        <v>430</v>
      </c>
      <c r="F104" s="59">
        <v>45964</v>
      </c>
      <c r="G104" s="59">
        <v>46146</v>
      </c>
      <c r="H104" s="45" t="s">
        <v>127</v>
      </c>
      <c r="I104" s="45" t="s">
        <v>404</v>
      </c>
      <c r="J104" s="45" t="s">
        <v>402</v>
      </c>
      <c r="K104" s="45">
        <v>1</v>
      </c>
      <c r="L104" s="58">
        <v>182</v>
      </c>
    </row>
    <row r="105" spans="1:12" hidden="1" x14ac:dyDescent="0.25">
      <c r="A105" s="44">
        <v>101713721</v>
      </c>
      <c r="B105" s="56" t="s">
        <v>286</v>
      </c>
      <c r="C105" s="56" t="s">
        <v>126</v>
      </c>
      <c r="D105" s="46" t="s">
        <v>72</v>
      </c>
      <c r="E105" s="46" t="s">
        <v>412</v>
      </c>
      <c r="F105" s="57">
        <v>45964</v>
      </c>
      <c r="G105" s="57">
        <v>46176</v>
      </c>
      <c r="H105" s="46" t="s">
        <v>127</v>
      </c>
      <c r="I105" s="46" t="s">
        <v>404</v>
      </c>
      <c r="J105" s="46" t="s">
        <v>402</v>
      </c>
      <c r="K105" s="46" t="s">
        <v>127</v>
      </c>
      <c r="L105" s="56" t="s">
        <v>405</v>
      </c>
    </row>
    <row r="106" spans="1:12" hidden="1" x14ac:dyDescent="0.25">
      <c r="A106" s="43">
        <v>101713722</v>
      </c>
      <c r="B106" s="58" t="s">
        <v>291</v>
      </c>
      <c r="C106" s="58" t="s">
        <v>159</v>
      </c>
      <c r="D106" s="45" t="s">
        <v>72</v>
      </c>
      <c r="E106" s="45" t="s">
        <v>433</v>
      </c>
      <c r="F106" s="59">
        <v>45964</v>
      </c>
      <c r="G106" s="59">
        <v>46056</v>
      </c>
      <c r="H106" s="45" t="s">
        <v>127</v>
      </c>
      <c r="I106" s="45" t="s">
        <v>404</v>
      </c>
      <c r="J106" s="45" t="s">
        <v>402</v>
      </c>
      <c r="K106" s="45">
        <v>2</v>
      </c>
      <c r="L106" s="58" t="s">
        <v>405</v>
      </c>
    </row>
    <row r="107" spans="1:12" hidden="1" x14ac:dyDescent="0.25">
      <c r="A107" s="44">
        <v>101713722</v>
      </c>
      <c r="B107" s="56" t="s">
        <v>291</v>
      </c>
      <c r="C107" s="56" t="s">
        <v>159</v>
      </c>
      <c r="D107" s="46" t="s">
        <v>72</v>
      </c>
      <c r="E107" s="46" t="s">
        <v>408</v>
      </c>
      <c r="F107" s="57">
        <v>45964</v>
      </c>
      <c r="G107" s="57">
        <v>46027</v>
      </c>
      <c r="H107" s="46" t="s">
        <v>127</v>
      </c>
      <c r="I107" s="46" t="s">
        <v>404</v>
      </c>
      <c r="J107" s="46" t="s">
        <v>402</v>
      </c>
      <c r="K107" s="46">
        <v>1</v>
      </c>
      <c r="L107" s="56">
        <v>63</v>
      </c>
    </row>
    <row r="108" spans="1:12" hidden="1" x14ac:dyDescent="0.25">
      <c r="A108" s="43">
        <v>101716293</v>
      </c>
      <c r="B108" s="45" t="s">
        <v>297</v>
      </c>
      <c r="C108" s="45" t="s">
        <v>159</v>
      </c>
      <c r="D108" s="45" t="s">
        <v>72</v>
      </c>
      <c r="E108" s="45" t="s">
        <v>432</v>
      </c>
      <c r="F108" s="53">
        <v>45964</v>
      </c>
      <c r="G108" s="59">
        <v>46057</v>
      </c>
      <c r="H108" s="53">
        <v>46133</v>
      </c>
      <c r="I108" s="45" t="s">
        <v>401</v>
      </c>
      <c r="J108" s="45" t="s">
        <v>402</v>
      </c>
      <c r="K108" s="45">
        <v>1</v>
      </c>
      <c r="L108" s="58">
        <v>93</v>
      </c>
    </row>
    <row r="109" spans="1:12" hidden="1" x14ac:dyDescent="0.25">
      <c r="A109" s="44">
        <v>101716293</v>
      </c>
      <c r="B109" s="46" t="s">
        <v>297</v>
      </c>
      <c r="C109" s="46" t="s">
        <v>159</v>
      </c>
      <c r="D109" s="46" t="s">
        <v>72</v>
      </c>
      <c r="E109" s="46" t="s">
        <v>403</v>
      </c>
      <c r="F109" s="54">
        <v>45964</v>
      </c>
      <c r="G109" s="54">
        <v>46128</v>
      </c>
      <c r="H109" s="54">
        <v>46146</v>
      </c>
      <c r="I109" s="46" t="s">
        <v>401</v>
      </c>
      <c r="J109" s="46" t="s">
        <v>413</v>
      </c>
      <c r="K109" s="46" t="s">
        <v>127</v>
      </c>
      <c r="L109" s="56" t="s">
        <v>405</v>
      </c>
    </row>
    <row r="110" spans="1:12" hidden="1" x14ac:dyDescent="0.25">
      <c r="A110" s="43">
        <v>101716293</v>
      </c>
      <c r="B110" s="45" t="s">
        <v>297</v>
      </c>
      <c r="C110" s="45" t="s">
        <v>159</v>
      </c>
      <c r="D110" s="45" t="s">
        <v>72</v>
      </c>
      <c r="E110" s="45" t="s">
        <v>403</v>
      </c>
      <c r="F110" s="53">
        <v>45964</v>
      </c>
      <c r="G110" s="53">
        <v>46147</v>
      </c>
      <c r="H110" s="45" t="s">
        <v>127</v>
      </c>
      <c r="I110" s="45" t="s">
        <v>404</v>
      </c>
      <c r="J110" s="45" t="s">
        <v>402</v>
      </c>
      <c r="K110" s="45" t="s">
        <v>127</v>
      </c>
      <c r="L110" s="58" t="s">
        <v>405</v>
      </c>
    </row>
    <row r="111" spans="1:12" hidden="1" x14ac:dyDescent="0.25">
      <c r="A111" s="44">
        <v>101716294</v>
      </c>
      <c r="B111" s="56" t="s">
        <v>300</v>
      </c>
      <c r="C111" s="56" t="s">
        <v>159</v>
      </c>
      <c r="D111" s="46" t="s">
        <v>72</v>
      </c>
      <c r="E111" s="46" t="s">
        <v>410</v>
      </c>
      <c r="F111" s="57">
        <v>45964</v>
      </c>
      <c r="G111" s="57">
        <v>46064</v>
      </c>
      <c r="H111" s="54">
        <v>46094</v>
      </c>
      <c r="I111" s="46" t="s">
        <v>401</v>
      </c>
      <c r="J111" s="68" t="s">
        <v>413</v>
      </c>
      <c r="K111" s="46">
        <v>0</v>
      </c>
      <c r="L111" s="69" t="s">
        <v>405</v>
      </c>
    </row>
    <row r="112" spans="1:12" hidden="1" x14ac:dyDescent="0.25">
      <c r="A112" s="43">
        <v>101716294</v>
      </c>
      <c r="B112" s="58" t="s">
        <v>300</v>
      </c>
      <c r="C112" s="58" t="s">
        <v>159</v>
      </c>
      <c r="D112" s="45" t="s">
        <v>72</v>
      </c>
      <c r="E112" s="45" t="s">
        <v>409</v>
      </c>
      <c r="F112" s="59">
        <v>45964</v>
      </c>
      <c r="G112" s="59">
        <v>46111</v>
      </c>
      <c r="H112" s="53">
        <v>46568</v>
      </c>
      <c r="I112" s="45" t="s">
        <v>404</v>
      </c>
      <c r="J112" s="45" t="s">
        <v>402</v>
      </c>
      <c r="K112" s="45">
        <v>1</v>
      </c>
      <c r="L112" s="58">
        <v>147</v>
      </c>
    </row>
    <row r="113" spans="1:12" hidden="1" x14ac:dyDescent="0.25">
      <c r="A113" s="44">
        <v>101720296</v>
      </c>
      <c r="B113" s="56" t="s">
        <v>303</v>
      </c>
      <c r="C113" s="56" t="s">
        <v>126</v>
      </c>
      <c r="D113" s="46" t="s">
        <v>72</v>
      </c>
      <c r="E113" s="46" t="s">
        <v>434</v>
      </c>
      <c r="F113" s="57">
        <v>45964</v>
      </c>
      <c r="G113" s="57">
        <v>46083</v>
      </c>
      <c r="H113" s="46" t="s">
        <v>127</v>
      </c>
      <c r="I113" s="46" t="s">
        <v>404</v>
      </c>
      <c r="J113" s="46" t="s">
        <v>402</v>
      </c>
      <c r="K113" s="46">
        <v>1</v>
      </c>
      <c r="L113" s="56">
        <v>119</v>
      </c>
    </row>
    <row r="114" spans="1:12" hidden="1" x14ac:dyDescent="0.25">
      <c r="A114" s="43">
        <v>101722216</v>
      </c>
      <c r="B114" s="58" t="s">
        <v>306</v>
      </c>
      <c r="C114" s="58" t="s">
        <v>126</v>
      </c>
      <c r="D114" s="45" t="s">
        <v>72</v>
      </c>
      <c r="E114" s="45" t="s">
        <v>433</v>
      </c>
      <c r="F114" s="59">
        <v>45976</v>
      </c>
      <c r="G114" s="59">
        <v>46056</v>
      </c>
      <c r="H114" s="45" t="s">
        <v>127</v>
      </c>
      <c r="I114" s="45" t="s">
        <v>404</v>
      </c>
      <c r="J114" s="45" t="s">
        <v>402</v>
      </c>
      <c r="K114" s="45">
        <v>1</v>
      </c>
      <c r="L114" s="58">
        <v>80</v>
      </c>
    </row>
    <row r="115" spans="1:12" hidden="1" x14ac:dyDescent="0.25">
      <c r="A115" s="44">
        <v>101724736</v>
      </c>
      <c r="B115" s="56" t="s">
        <v>311</v>
      </c>
      <c r="C115" s="56" t="s">
        <v>94</v>
      </c>
      <c r="D115" s="46" t="s">
        <v>55</v>
      </c>
      <c r="E115" s="46" t="s">
        <v>432</v>
      </c>
      <c r="F115" s="57">
        <v>46000</v>
      </c>
      <c r="G115" s="57">
        <v>46058</v>
      </c>
      <c r="H115" s="46" t="s">
        <v>127</v>
      </c>
      <c r="I115" s="46" t="s">
        <v>404</v>
      </c>
      <c r="J115" s="46" t="s">
        <v>402</v>
      </c>
      <c r="K115" s="46">
        <v>1</v>
      </c>
      <c r="L115" s="56">
        <v>58</v>
      </c>
    </row>
    <row r="116" spans="1:12" hidden="1" x14ac:dyDescent="0.25">
      <c r="A116" s="43">
        <v>101792304</v>
      </c>
      <c r="B116" s="58" t="s">
        <v>316</v>
      </c>
      <c r="C116" s="58" t="s">
        <v>56</v>
      </c>
      <c r="D116" s="45" t="s">
        <v>72</v>
      </c>
      <c r="E116" s="45" t="s">
        <v>432</v>
      </c>
      <c r="F116" s="59">
        <v>46195</v>
      </c>
      <c r="G116" s="59">
        <v>46251</v>
      </c>
      <c r="H116" s="45" t="s">
        <v>127</v>
      </c>
      <c r="I116" s="45" t="s">
        <v>82</v>
      </c>
      <c r="J116" s="45" t="s">
        <v>402</v>
      </c>
      <c r="K116" s="45" t="s">
        <v>127</v>
      </c>
      <c r="L116" s="58" t="s">
        <v>405</v>
      </c>
    </row>
    <row r="117" spans="1:12" hidden="1" x14ac:dyDescent="0.25">
      <c r="A117" s="44">
        <v>101794675</v>
      </c>
      <c r="B117" s="56" t="s">
        <v>330</v>
      </c>
      <c r="C117" s="56" t="s">
        <v>159</v>
      </c>
      <c r="D117" s="46" t="s">
        <v>116</v>
      </c>
      <c r="E117" s="46" t="s">
        <v>435</v>
      </c>
      <c r="F117" s="57">
        <v>46209</v>
      </c>
      <c r="G117" s="57">
        <v>46237</v>
      </c>
      <c r="H117" s="46" t="s">
        <v>127</v>
      </c>
      <c r="I117" s="46" t="s">
        <v>404</v>
      </c>
      <c r="J117" s="46" t="s">
        <v>402</v>
      </c>
      <c r="K117" s="46" t="s">
        <v>127</v>
      </c>
      <c r="L117" s="56" t="s">
        <v>405</v>
      </c>
    </row>
    <row r="118" spans="1:12" hidden="1" x14ac:dyDescent="0.25">
      <c r="A118" s="43">
        <v>101797484</v>
      </c>
      <c r="B118" s="58" t="s">
        <v>336</v>
      </c>
      <c r="C118" s="58" t="s">
        <v>94</v>
      </c>
      <c r="D118" s="45" t="s">
        <v>72</v>
      </c>
      <c r="E118" s="45" t="s">
        <v>432</v>
      </c>
      <c r="F118" s="59">
        <v>46209</v>
      </c>
      <c r="G118" s="59">
        <v>46251</v>
      </c>
      <c r="H118" s="45" t="s">
        <v>127</v>
      </c>
      <c r="I118" s="45" t="s">
        <v>82</v>
      </c>
      <c r="J118" s="45" t="s">
        <v>402</v>
      </c>
      <c r="K118" s="45" t="s">
        <v>127</v>
      </c>
      <c r="L118" s="58" t="s">
        <v>405</v>
      </c>
    </row>
    <row r="119" spans="1:12" hidden="1" x14ac:dyDescent="0.25">
      <c r="A119" s="44">
        <v>101798394</v>
      </c>
      <c r="B119" s="56" t="s">
        <v>339</v>
      </c>
      <c r="C119" s="56" t="s">
        <v>56</v>
      </c>
      <c r="D119" s="46" t="s">
        <v>55</v>
      </c>
      <c r="E119" s="46" t="s">
        <v>432</v>
      </c>
      <c r="F119" s="57">
        <v>46223</v>
      </c>
      <c r="G119" s="57">
        <v>46251</v>
      </c>
      <c r="H119" s="46" t="s">
        <v>127</v>
      </c>
      <c r="I119" s="46" t="s">
        <v>82</v>
      </c>
      <c r="J119" s="46" t="s">
        <v>402</v>
      </c>
      <c r="K119" s="46" t="s">
        <v>127</v>
      </c>
      <c r="L119" s="56" t="s">
        <v>405</v>
      </c>
    </row>
    <row r="120" spans="1:12" hidden="1" x14ac:dyDescent="0.25">
      <c r="A120" s="50">
        <v>101799945</v>
      </c>
      <c r="B120" s="60" t="s">
        <v>348</v>
      </c>
      <c r="C120" s="60" t="s">
        <v>94</v>
      </c>
      <c r="D120" s="52" t="s">
        <v>72</v>
      </c>
      <c r="E120" s="52" t="s">
        <v>432</v>
      </c>
      <c r="F120" s="61">
        <v>46223</v>
      </c>
      <c r="G120" s="61">
        <v>46251</v>
      </c>
      <c r="H120" s="52" t="s">
        <v>127</v>
      </c>
      <c r="I120" s="52" t="s">
        <v>82</v>
      </c>
      <c r="J120" s="52" t="s">
        <v>402</v>
      </c>
      <c r="K120" s="52" t="s">
        <v>127</v>
      </c>
      <c r="L120" s="60" t="s">
        <v>405</v>
      </c>
    </row>
    <row r="121" spans="1:12" hidden="1" x14ac:dyDescent="0.25">
      <c r="A121" s="36" t="s">
        <v>127</v>
      </c>
      <c r="B121" s="36" t="s">
        <v>127</v>
      </c>
      <c r="C121" s="36" t="s">
        <v>127</v>
      </c>
      <c r="D121" s="36" t="s">
        <v>127</v>
      </c>
      <c r="E121" s="36" t="s">
        <v>127</v>
      </c>
      <c r="F121" s="36" t="s">
        <v>127</v>
      </c>
      <c r="G121" s="36" t="s">
        <v>127</v>
      </c>
      <c r="H121" s="36" t="s">
        <v>127</v>
      </c>
      <c r="I121" s="70" t="s">
        <v>127</v>
      </c>
      <c r="J121" s="37" t="s">
        <v>127</v>
      </c>
      <c r="K121" s="37" t="s">
        <v>127</v>
      </c>
      <c r="L121" s="21" t="s">
        <v>127</v>
      </c>
    </row>
    <row r="122" spans="1:12" hidden="1" x14ac:dyDescent="0.25">
      <c r="A122" s="71" t="s">
        <v>127</v>
      </c>
      <c r="B122" s="71" t="s">
        <v>127</v>
      </c>
      <c r="C122" s="71" t="s">
        <v>127</v>
      </c>
      <c r="D122" s="71" t="s">
        <v>127</v>
      </c>
      <c r="E122" s="71" t="s">
        <v>127</v>
      </c>
      <c r="F122" s="71" t="s">
        <v>127</v>
      </c>
      <c r="G122" s="71" t="s">
        <v>127</v>
      </c>
      <c r="H122" s="71" t="s">
        <v>127</v>
      </c>
      <c r="I122" s="72" t="s">
        <v>127</v>
      </c>
      <c r="J122" s="73" t="s">
        <v>127</v>
      </c>
      <c r="K122" s="73" t="s">
        <v>127</v>
      </c>
      <c r="L122" s="74" t="s">
        <v>127</v>
      </c>
    </row>
    <row r="123" spans="1:12" hidden="1" x14ac:dyDescent="0.25">
      <c r="A123" s="71" t="s">
        <v>127</v>
      </c>
      <c r="B123" s="71" t="s">
        <v>127</v>
      </c>
      <c r="C123" s="71" t="s">
        <v>127</v>
      </c>
      <c r="D123" s="71" t="s">
        <v>127</v>
      </c>
      <c r="E123" s="71" t="s">
        <v>127</v>
      </c>
      <c r="F123" s="71" t="s">
        <v>127</v>
      </c>
      <c r="G123" s="71" t="s">
        <v>127</v>
      </c>
      <c r="H123" s="71" t="s">
        <v>127</v>
      </c>
      <c r="I123" s="72" t="s">
        <v>127</v>
      </c>
      <c r="J123" s="73" t="s">
        <v>127</v>
      </c>
      <c r="K123" s="73" t="s">
        <v>127</v>
      </c>
      <c r="L123" s="74" t="s">
        <v>127</v>
      </c>
    </row>
    <row r="124" spans="1:12" hidden="1" x14ac:dyDescent="0.25">
      <c r="A124" s="71" t="s">
        <v>127</v>
      </c>
      <c r="B124" s="71" t="s">
        <v>127</v>
      </c>
      <c r="C124" s="71" t="s">
        <v>127</v>
      </c>
      <c r="D124" s="71" t="s">
        <v>127</v>
      </c>
      <c r="E124" s="71" t="s">
        <v>127</v>
      </c>
      <c r="F124" s="71" t="s">
        <v>127</v>
      </c>
      <c r="G124" s="71" t="s">
        <v>127</v>
      </c>
      <c r="H124" s="71" t="s">
        <v>127</v>
      </c>
      <c r="I124" s="72" t="s">
        <v>127</v>
      </c>
      <c r="J124" s="73" t="s">
        <v>127</v>
      </c>
      <c r="K124" s="73" t="s">
        <v>127</v>
      </c>
      <c r="L124" s="74" t="s">
        <v>127</v>
      </c>
    </row>
    <row r="125" spans="1:12" hidden="1" x14ac:dyDescent="0.25">
      <c r="A125" s="71" t="s">
        <v>127</v>
      </c>
      <c r="B125" s="71" t="s">
        <v>127</v>
      </c>
      <c r="C125" s="71" t="s">
        <v>127</v>
      </c>
      <c r="D125" s="71" t="s">
        <v>127</v>
      </c>
      <c r="E125" s="71" t="s">
        <v>127</v>
      </c>
      <c r="F125" s="71" t="s">
        <v>127</v>
      </c>
      <c r="G125" s="71" t="s">
        <v>127</v>
      </c>
      <c r="H125" s="71" t="s">
        <v>127</v>
      </c>
      <c r="I125" s="72" t="s">
        <v>127</v>
      </c>
      <c r="J125" s="73" t="s">
        <v>127</v>
      </c>
      <c r="K125" s="73" t="s">
        <v>127</v>
      </c>
      <c r="L125" s="74" t="s">
        <v>127</v>
      </c>
    </row>
    <row r="126" spans="1:12" hidden="1" x14ac:dyDescent="0.25">
      <c r="A126" s="71" t="s">
        <v>127</v>
      </c>
      <c r="B126" s="71" t="s">
        <v>127</v>
      </c>
      <c r="C126" s="71" t="s">
        <v>127</v>
      </c>
      <c r="D126" s="71" t="s">
        <v>127</v>
      </c>
      <c r="E126" s="71" t="s">
        <v>127</v>
      </c>
      <c r="F126" s="71" t="s">
        <v>127</v>
      </c>
      <c r="G126" s="71" t="s">
        <v>127</v>
      </c>
      <c r="H126" s="71" t="s">
        <v>127</v>
      </c>
      <c r="I126" s="72" t="s">
        <v>127</v>
      </c>
      <c r="J126" s="73" t="s">
        <v>127</v>
      </c>
      <c r="K126" s="73" t="s">
        <v>127</v>
      </c>
      <c r="L126" s="74" t="s">
        <v>127</v>
      </c>
    </row>
    <row r="127" spans="1:12" hidden="1" x14ac:dyDescent="0.25">
      <c r="A127" s="71" t="s">
        <v>127</v>
      </c>
      <c r="B127" s="71" t="s">
        <v>127</v>
      </c>
      <c r="C127" s="71" t="s">
        <v>127</v>
      </c>
      <c r="D127" s="71" t="s">
        <v>127</v>
      </c>
      <c r="E127" s="71" t="s">
        <v>127</v>
      </c>
      <c r="F127" s="71" t="s">
        <v>127</v>
      </c>
      <c r="G127" s="71" t="s">
        <v>127</v>
      </c>
      <c r="H127" s="71" t="s">
        <v>127</v>
      </c>
      <c r="I127" s="72" t="s">
        <v>127</v>
      </c>
      <c r="J127" s="73" t="s">
        <v>127</v>
      </c>
      <c r="K127" s="73" t="s">
        <v>127</v>
      </c>
      <c r="L127" s="74" t="s">
        <v>127</v>
      </c>
    </row>
    <row r="128" spans="1:12" hidden="1" x14ac:dyDescent="0.25">
      <c r="A128" s="71" t="s">
        <v>127</v>
      </c>
      <c r="B128" s="71" t="s">
        <v>127</v>
      </c>
      <c r="C128" s="71" t="s">
        <v>127</v>
      </c>
      <c r="D128" s="71" t="s">
        <v>127</v>
      </c>
      <c r="E128" s="71" t="s">
        <v>127</v>
      </c>
      <c r="F128" s="71" t="s">
        <v>127</v>
      </c>
      <c r="G128" s="71" t="s">
        <v>127</v>
      </c>
      <c r="H128" s="71" t="s">
        <v>127</v>
      </c>
      <c r="I128" s="72" t="s">
        <v>127</v>
      </c>
      <c r="J128" s="73" t="s">
        <v>127</v>
      </c>
      <c r="K128" s="73" t="s">
        <v>127</v>
      </c>
      <c r="L128" s="74" t="s">
        <v>127</v>
      </c>
    </row>
    <row r="129" spans="1:12" hidden="1" x14ac:dyDescent="0.25">
      <c r="A129" s="71" t="s">
        <v>127</v>
      </c>
      <c r="B129" s="71" t="s">
        <v>127</v>
      </c>
      <c r="C129" s="71" t="s">
        <v>127</v>
      </c>
      <c r="D129" s="71" t="s">
        <v>127</v>
      </c>
      <c r="E129" s="71" t="s">
        <v>127</v>
      </c>
      <c r="F129" s="71" t="s">
        <v>127</v>
      </c>
      <c r="G129" s="71" t="s">
        <v>127</v>
      </c>
      <c r="H129" s="71" t="s">
        <v>127</v>
      </c>
      <c r="I129" s="72" t="s">
        <v>127</v>
      </c>
      <c r="J129" s="73" t="s">
        <v>127</v>
      </c>
      <c r="K129" s="73" t="s">
        <v>127</v>
      </c>
      <c r="L129" s="74" t="s">
        <v>127</v>
      </c>
    </row>
    <row r="130" spans="1:12" hidden="1" x14ac:dyDescent="0.25">
      <c r="A130" s="71" t="s">
        <v>127</v>
      </c>
      <c r="B130" s="71" t="s">
        <v>127</v>
      </c>
      <c r="C130" s="71" t="s">
        <v>127</v>
      </c>
      <c r="D130" s="71" t="s">
        <v>127</v>
      </c>
      <c r="E130" s="71" t="s">
        <v>127</v>
      </c>
      <c r="F130" s="71" t="s">
        <v>127</v>
      </c>
      <c r="G130" s="71" t="s">
        <v>127</v>
      </c>
      <c r="H130" s="71" t="s">
        <v>127</v>
      </c>
      <c r="I130" s="72" t="s">
        <v>127</v>
      </c>
      <c r="J130" s="73" t="s">
        <v>127</v>
      </c>
      <c r="K130" s="73" t="s">
        <v>127</v>
      </c>
      <c r="L130" s="74" t="s">
        <v>127</v>
      </c>
    </row>
    <row r="131" spans="1:12" hidden="1" x14ac:dyDescent="0.25">
      <c r="A131" s="71" t="s">
        <v>127</v>
      </c>
      <c r="B131" s="71" t="s">
        <v>127</v>
      </c>
      <c r="C131" s="71" t="s">
        <v>127</v>
      </c>
      <c r="D131" s="71" t="s">
        <v>127</v>
      </c>
      <c r="E131" s="71" t="s">
        <v>127</v>
      </c>
      <c r="F131" s="71" t="s">
        <v>127</v>
      </c>
      <c r="G131" s="71" t="s">
        <v>127</v>
      </c>
      <c r="H131" s="71" t="s">
        <v>127</v>
      </c>
      <c r="I131" s="72" t="s">
        <v>127</v>
      </c>
      <c r="J131" s="73" t="s">
        <v>127</v>
      </c>
      <c r="K131" s="73" t="s">
        <v>127</v>
      </c>
      <c r="L131" s="74" t="s">
        <v>127</v>
      </c>
    </row>
    <row r="132" spans="1:12" hidden="1" x14ac:dyDescent="0.25">
      <c r="A132" s="71" t="s">
        <v>127</v>
      </c>
      <c r="B132" s="71" t="s">
        <v>127</v>
      </c>
      <c r="C132" s="71" t="s">
        <v>127</v>
      </c>
      <c r="D132" s="71" t="s">
        <v>127</v>
      </c>
      <c r="E132" s="71" t="s">
        <v>127</v>
      </c>
      <c r="F132" s="71" t="s">
        <v>127</v>
      </c>
      <c r="G132" s="71" t="s">
        <v>127</v>
      </c>
      <c r="H132" s="71" t="s">
        <v>127</v>
      </c>
      <c r="I132" s="72" t="s">
        <v>127</v>
      </c>
      <c r="J132" s="73" t="s">
        <v>127</v>
      </c>
      <c r="K132" s="73" t="s">
        <v>127</v>
      </c>
      <c r="L132" s="74" t="s">
        <v>127</v>
      </c>
    </row>
    <row r="133" spans="1:12" hidden="1" x14ac:dyDescent="0.25">
      <c r="A133" s="71" t="s">
        <v>127</v>
      </c>
      <c r="B133" s="71" t="s">
        <v>127</v>
      </c>
      <c r="C133" s="71" t="s">
        <v>127</v>
      </c>
      <c r="D133" s="71" t="s">
        <v>127</v>
      </c>
      <c r="E133" s="71" t="s">
        <v>127</v>
      </c>
      <c r="F133" s="71" t="s">
        <v>127</v>
      </c>
      <c r="G133" s="71" t="s">
        <v>127</v>
      </c>
      <c r="H133" s="71" t="s">
        <v>127</v>
      </c>
      <c r="I133" s="72" t="s">
        <v>127</v>
      </c>
      <c r="J133" s="73" t="s">
        <v>127</v>
      </c>
      <c r="K133" s="73" t="s">
        <v>127</v>
      </c>
      <c r="L133" s="74" t="s">
        <v>127</v>
      </c>
    </row>
    <row r="134" spans="1:12" hidden="1" x14ac:dyDescent="0.25">
      <c r="A134" s="71" t="s">
        <v>127</v>
      </c>
      <c r="B134" s="71" t="s">
        <v>127</v>
      </c>
      <c r="C134" s="71" t="s">
        <v>127</v>
      </c>
      <c r="D134" s="71" t="s">
        <v>127</v>
      </c>
      <c r="E134" s="71" t="s">
        <v>127</v>
      </c>
      <c r="F134" s="71" t="s">
        <v>127</v>
      </c>
      <c r="G134" s="71" t="s">
        <v>127</v>
      </c>
      <c r="H134" s="71" t="s">
        <v>127</v>
      </c>
      <c r="I134" s="72" t="s">
        <v>127</v>
      </c>
      <c r="J134" s="73" t="s">
        <v>127</v>
      </c>
      <c r="K134" s="73" t="s">
        <v>127</v>
      </c>
      <c r="L134" s="74" t="s">
        <v>127</v>
      </c>
    </row>
    <row r="135" spans="1:12" hidden="1" x14ac:dyDescent="0.25">
      <c r="A135" s="71" t="s">
        <v>127</v>
      </c>
      <c r="B135" s="71" t="s">
        <v>127</v>
      </c>
      <c r="C135" s="71" t="s">
        <v>127</v>
      </c>
      <c r="D135" s="71" t="s">
        <v>127</v>
      </c>
      <c r="E135" s="71" t="s">
        <v>127</v>
      </c>
      <c r="F135" s="71" t="s">
        <v>127</v>
      </c>
      <c r="G135" s="71" t="s">
        <v>127</v>
      </c>
      <c r="H135" s="71" t="s">
        <v>127</v>
      </c>
      <c r="I135" s="72" t="s">
        <v>127</v>
      </c>
      <c r="J135" s="73" t="s">
        <v>127</v>
      </c>
      <c r="K135" s="73" t="s">
        <v>127</v>
      </c>
      <c r="L135" s="74" t="s">
        <v>127</v>
      </c>
    </row>
    <row r="136" spans="1:12" hidden="1" x14ac:dyDescent="0.25">
      <c r="A136" s="71" t="s">
        <v>127</v>
      </c>
      <c r="B136" s="71" t="s">
        <v>127</v>
      </c>
      <c r="C136" s="71" t="s">
        <v>127</v>
      </c>
      <c r="D136" s="71" t="s">
        <v>127</v>
      </c>
      <c r="E136" s="71" t="s">
        <v>127</v>
      </c>
      <c r="F136" s="71" t="s">
        <v>127</v>
      </c>
      <c r="G136" s="71" t="s">
        <v>127</v>
      </c>
      <c r="H136" s="71" t="s">
        <v>127</v>
      </c>
      <c r="I136" s="72" t="s">
        <v>127</v>
      </c>
      <c r="J136" s="73" t="s">
        <v>127</v>
      </c>
      <c r="K136" s="73" t="s">
        <v>127</v>
      </c>
      <c r="L136" s="74" t="s">
        <v>127</v>
      </c>
    </row>
    <row r="137" spans="1:12" hidden="1" x14ac:dyDescent="0.25">
      <c r="A137" s="71" t="s">
        <v>127</v>
      </c>
      <c r="B137" s="71" t="s">
        <v>127</v>
      </c>
      <c r="C137" s="71" t="s">
        <v>127</v>
      </c>
      <c r="D137" s="71" t="s">
        <v>127</v>
      </c>
      <c r="E137" s="71" t="s">
        <v>127</v>
      </c>
      <c r="F137" s="71" t="s">
        <v>127</v>
      </c>
      <c r="G137" s="71" t="s">
        <v>127</v>
      </c>
      <c r="H137" s="71" t="s">
        <v>127</v>
      </c>
      <c r="I137" s="72" t="s">
        <v>127</v>
      </c>
      <c r="J137" s="73" t="s">
        <v>127</v>
      </c>
      <c r="K137" s="73" t="s">
        <v>127</v>
      </c>
      <c r="L137" s="74" t="s">
        <v>127</v>
      </c>
    </row>
    <row r="138" spans="1:12" hidden="1" x14ac:dyDescent="0.25">
      <c r="A138" s="71" t="s">
        <v>127</v>
      </c>
      <c r="B138" s="71" t="s">
        <v>127</v>
      </c>
      <c r="C138" s="71" t="s">
        <v>127</v>
      </c>
      <c r="D138" s="71" t="s">
        <v>127</v>
      </c>
      <c r="E138" s="71" t="s">
        <v>127</v>
      </c>
      <c r="F138" s="71" t="s">
        <v>127</v>
      </c>
      <c r="G138" s="71" t="s">
        <v>127</v>
      </c>
      <c r="H138" s="71" t="s">
        <v>127</v>
      </c>
      <c r="I138" s="72" t="s">
        <v>127</v>
      </c>
      <c r="J138" s="73" t="s">
        <v>127</v>
      </c>
      <c r="K138" s="73" t="s">
        <v>127</v>
      </c>
      <c r="L138" s="74" t="s">
        <v>127</v>
      </c>
    </row>
    <row r="139" spans="1:12" hidden="1" x14ac:dyDescent="0.25">
      <c r="A139" s="71" t="s">
        <v>127</v>
      </c>
      <c r="B139" s="71" t="s">
        <v>127</v>
      </c>
      <c r="C139" s="71" t="s">
        <v>127</v>
      </c>
      <c r="D139" s="71" t="s">
        <v>127</v>
      </c>
      <c r="E139" s="71" t="s">
        <v>127</v>
      </c>
      <c r="F139" s="71" t="s">
        <v>127</v>
      </c>
      <c r="G139" s="71" t="s">
        <v>127</v>
      </c>
      <c r="H139" s="71" t="s">
        <v>127</v>
      </c>
      <c r="I139" s="72" t="s">
        <v>127</v>
      </c>
      <c r="J139" s="73" t="s">
        <v>127</v>
      </c>
      <c r="K139" s="73" t="s">
        <v>127</v>
      </c>
      <c r="L139" s="74" t="s">
        <v>127</v>
      </c>
    </row>
    <row r="140" spans="1:12" hidden="1" x14ac:dyDescent="0.25">
      <c r="A140" s="71" t="s">
        <v>127</v>
      </c>
      <c r="B140" s="71" t="s">
        <v>127</v>
      </c>
      <c r="C140" s="71" t="s">
        <v>127</v>
      </c>
      <c r="D140" s="71" t="s">
        <v>127</v>
      </c>
      <c r="E140" s="71" t="s">
        <v>127</v>
      </c>
      <c r="F140" s="71" t="s">
        <v>127</v>
      </c>
      <c r="G140" s="71" t="s">
        <v>127</v>
      </c>
      <c r="H140" s="71" t="s">
        <v>127</v>
      </c>
      <c r="I140" s="72" t="s">
        <v>127</v>
      </c>
      <c r="J140" s="73" t="s">
        <v>127</v>
      </c>
      <c r="K140" s="73" t="s">
        <v>127</v>
      </c>
      <c r="L140" s="74" t="s">
        <v>127</v>
      </c>
    </row>
    <row r="141" spans="1:12" hidden="1" x14ac:dyDescent="0.25">
      <c r="A141" s="71" t="s">
        <v>127</v>
      </c>
      <c r="B141" s="71" t="s">
        <v>127</v>
      </c>
      <c r="C141" s="71" t="s">
        <v>127</v>
      </c>
      <c r="D141" s="71" t="s">
        <v>127</v>
      </c>
      <c r="E141" s="71" t="s">
        <v>127</v>
      </c>
      <c r="F141" s="71" t="s">
        <v>127</v>
      </c>
      <c r="G141" s="71" t="s">
        <v>127</v>
      </c>
      <c r="H141" s="71" t="s">
        <v>127</v>
      </c>
      <c r="I141" s="72" t="s">
        <v>127</v>
      </c>
      <c r="J141" s="73" t="s">
        <v>127</v>
      </c>
      <c r="K141" s="73" t="s">
        <v>127</v>
      </c>
      <c r="L141" s="74" t="s">
        <v>127</v>
      </c>
    </row>
    <row r="142" spans="1:12" hidden="1" x14ac:dyDescent="0.25">
      <c r="A142" s="71" t="s">
        <v>127</v>
      </c>
      <c r="B142" s="71" t="s">
        <v>127</v>
      </c>
      <c r="C142" s="71" t="s">
        <v>127</v>
      </c>
      <c r="D142" s="71" t="s">
        <v>127</v>
      </c>
      <c r="E142" s="71" t="s">
        <v>127</v>
      </c>
      <c r="F142" s="71" t="s">
        <v>127</v>
      </c>
      <c r="G142" s="71" t="s">
        <v>127</v>
      </c>
      <c r="H142" s="71" t="s">
        <v>127</v>
      </c>
      <c r="I142" s="72" t="s">
        <v>127</v>
      </c>
      <c r="J142" s="73" t="s">
        <v>127</v>
      </c>
      <c r="K142" s="73" t="s">
        <v>127</v>
      </c>
      <c r="L142" s="74" t="s">
        <v>127</v>
      </c>
    </row>
  </sheetData>
  <autoFilter ref="A1:L142" xr:uid="{D83432DE-21E0-4B34-9D9B-065F3B000FB4}">
    <filterColumn colId="1">
      <filters>
        <filter val="Karol Beso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CBB3-25D7-4C09-83B8-DD8B71935DCB}">
  <dimension ref="A1:D313"/>
  <sheetViews>
    <sheetView topLeftCell="A90" workbookViewId="0">
      <selection activeCell="B2" sqref="B2"/>
    </sheetView>
  </sheetViews>
  <sheetFormatPr defaultRowHeight="15" x14ac:dyDescent="0.25"/>
  <cols>
    <col min="2" max="2" width="13.85546875" bestFit="1" customWidth="1"/>
  </cols>
  <sheetData>
    <row r="1" spans="1:4" x14ac:dyDescent="0.25">
      <c r="A1" s="82" t="s">
        <v>390</v>
      </c>
      <c r="B1" s="78" t="s">
        <v>436</v>
      </c>
    </row>
    <row r="2" spans="1:4" x14ac:dyDescent="0.25">
      <c r="A2" s="77" t="s">
        <v>294</v>
      </c>
      <c r="B2" s="79">
        <v>46037</v>
      </c>
      <c r="C2" t="b">
        <f>D2=A2</f>
        <v>1</v>
      </c>
      <c r="D2" s="28" t="s">
        <v>294</v>
      </c>
    </row>
    <row r="3" spans="1:4" x14ac:dyDescent="0.25">
      <c r="A3" s="75" t="s">
        <v>141</v>
      </c>
      <c r="B3" s="79">
        <v>45730</v>
      </c>
      <c r="C3" t="b">
        <f t="shared" ref="C3:C12" si="0">D3=A3</f>
        <v>1</v>
      </c>
      <c r="D3" s="21" t="s">
        <v>141</v>
      </c>
    </row>
    <row r="4" spans="1:4" x14ac:dyDescent="0.25">
      <c r="A4" s="75" t="s">
        <v>85</v>
      </c>
      <c r="B4" s="79">
        <v>45636</v>
      </c>
      <c r="C4" t="b">
        <f t="shared" si="0"/>
        <v>1</v>
      </c>
      <c r="D4" s="21" t="s">
        <v>85</v>
      </c>
    </row>
    <row r="5" spans="1:4" x14ac:dyDescent="0.25">
      <c r="C5" t="b">
        <f t="shared" si="0"/>
        <v>0</v>
      </c>
      <c r="D5" s="21" t="s">
        <v>339</v>
      </c>
    </row>
    <row r="6" spans="1:4" x14ac:dyDescent="0.25">
      <c r="A6" s="75" t="s">
        <v>283</v>
      </c>
      <c r="B6" s="79">
        <v>46031</v>
      </c>
      <c r="C6" t="b">
        <f t="shared" si="0"/>
        <v>1</v>
      </c>
      <c r="D6" s="21" t="s">
        <v>283</v>
      </c>
    </row>
    <row r="7" spans="1:4" x14ac:dyDescent="0.25">
      <c r="C7" t="b">
        <f t="shared" si="0"/>
        <v>0</v>
      </c>
      <c r="D7" s="91" t="s">
        <v>386</v>
      </c>
    </row>
    <row r="8" spans="1:4" x14ac:dyDescent="0.25">
      <c r="A8" s="75" t="s">
        <v>130</v>
      </c>
      <c r="B8" s="79">
        <v>45730</v>
      </c>
      <c r="C8" t="b">
        <f t="shared" si="0"/>
        <v>1</v>
      </c>
      <c r="D8" s="21" t="s">
        <v>130</v>
      </c>
    </row>
    <row r="9" spans="1:4" x14ac:dyDescent="0.25">
      <c r="A9" s="75" t="s">
        <v>238</v>
      </c>
      <c r="B9" s="79">
        <v>45895</v>
      </c>
      <c r="C9" t="b">
        <f t="shared" si="0"/>
        <v>1</v>
      </c>
      <c r="D9" s="21" t="s">
        <v>238</v>
      </c>
    </row>
    <row r="10" spans="1:4" x14ac:dyDescent="0.25">
      <c r="A10" s="75" t="s">
        <v>182</v>
      </c>
      <c r="B10" s="79">
        <v>45799</v>
      </c>
      <c r="C10" t="b">
        <f t="shared" si="0"/>
        <v>1</v>
      </c>
      <c r="D10" s="21" t="s">
        <v>182</v>
      </c>
    </row>
    <row r="11" spans="1:4" x14ac:dyDescent="0.25">
      <c r="A11" s="75" t="s">
        <v>226</v>
      </c>
      <c r="B11" s="79">
        <v>45880</v>
      </c>
      <c r="C11" t="b">
        <f t="shared" si="0"/>
        <v>1</v>
      </c>
      <c r="D11" s="21" t="s">
        <v>226</v>
      </c>
    </row>
    <row r="12" spans="1:4" x14ac:dyDescent="0.25">
      <c r="A12" s="75" t="s">
        <v>158</v>
      </c>
      <c r="B12" s="79"/>
      <c r="C12" t="b">
        <f t="shared" si="0"/>
        <v>1</v>
      </c>
      <c r="D12" s="21" t="s">
        <v>158</v>
      </c>
    </row>
    <row r="13" spans="1:4" x14ac:dyDescent="0.25">
      <c r="C13" t="b">
        <f>D13=A15</f>
        <v>0</v>
      </c>
      <c r="D13" s="21" t="s">
        <v>330</v>
      </c>
    </row>
    <row r="14" spans="1:4" x14ac:dyDescent="0.25">
      <c r="C14" t="b">
        <f>D14=A17</f>
        <v>0</v>
      </c>
      <c r="D14" s="21" t="s">
        <v>344</v>
      </c>
    </row>
    <row r="15" spans="1:4" x14ac:dyDescent="0.25">
      <c r="A15" s="75" t="s">
        <v>202</v>
      </c>
      <c r="B15" s="79">
        <v>45799</v>
      </c>
      <c r="C15" t="b">
        <f>D15=A18</f>
        <v>0</v>
      </c>
      <c r="D15" s="21" t="s">
        <v>202</v>
      </c>
    </row>
    <row r="16" spans="1:4" x14ac:dyDescent="0.25">
      <c r="C16" t="b">
        <f>D16=A19</f>
        <v>0</v>
      </c>
      <c r="D16" s="21" t="s">
        <v>371</v>
      </c>
    </row>
    <row r="17" spans="1:4" x14ac:dyDescent="0.25">
      <c r="A17" s="75" t="s">
        <v>223</v>
      </c>
      <c r="B17" s="79">
        <v>45848</v>
      </c>
      <c r="C17" t="b">
        <f>D17=A20</f>
        <v>0</v>
      </c>
      <c r="D17" s="21" t="s">
        <v>223</v>
      </c>
    </row>
    <row r="18" spans="1:4" x14ac:dyDescent="0.25">
      <c r="A18" s="75" t="s">
        <v>258</v>
      </c>
      <c r="B18" s="79">
        <v>45943</v>
      </c>
      <c r="C18" t="b">
        <f>D18=A21</f>
        <v>0</v>
      </c>
      <c r="D18" s="21" t="s">
        <v>258</v>
      </c>
    </row>
    <row r="19" spans="1:4" x14ac:dyDescent="0.25">
      <c r="A19" s="75" t="s">
        <v>278</v>
      </c>
      <c r="B19" s="79">
        <v>46031</v>
      </c>
      <c r="C19" t="b">
        <f>D19=A23</f>
        <v>0</v>
      </c>
      <c r="D19" s="21" t="s">
        <v>278</v>
      </c>
    </row>
    <row r="20" spans="1:4" x14ac:dyDescent="0.25">
      <c r="A20" s="75" t="s">
        <v>97</v>
      </c>
      <c r="B20" s="79">
        <v>45692</v>
      </c>
      <c r="C20" t="b">
        <f>D20=A24</f>
        <v>0</v>
      </c>
      <c r="D20" s="21" t="s">
        <v>97</v>
      </c>
    </row>
    <row r="21" spans="1:4" x14ac:dyDescent="0.25">
      <c r="A21" s="75" t="s">
        <v>241</v>
      </c>
      <c r="B21" s="79">
        <v>45943</v>
      </c>
      <c r="C21" t="b">
        <f>D21=A25</f>
        <v>0</v>
      </c>
      <c r="D21" s="21" t="s">
        <v>241</v>
      </c>
    </row>
    <row r="22" spans="1:4" x14ac:dyDescent="0.25">
      <c r="C22" t="b">
        <f>D22=A26</f>
        <v>0</v>
      </c>
      <c r="D22" s="21" t="s">
        <v>383</v>
      </c>
    </row>
    <row r="23" spans="1:4" x14ac:dyDescent="0.25">
      <c r="A23" s="75" t="s">
        <v>155</v>
      </c>
      <c r="B23" s="79">
        <v>45747</v>
      </c>
      <c r="C23" t="e">
        <f>D23=#REF!</f>
        <v>#REF!</v>
      </c>
      <c r="D23" s="21" t="s">
        <v>155</v>
      </c>
    </row>
    <row r="24" spans="1:4" x14ac:dyDescent="0.25">
      <c r="A24" s="75" t="s">
        <v>267</v>
      </c>
      <c r="B24" s="79">
        <v>46031</v>
      </c>
      <c r="C24" t="b">
        <f>D24=A27</f>
        <v>0</v>
      </c>
      <c r="D24" s="21" t="s">
        <v>267</v>
      </c>
    </row>
    <row r="25" spans="1:4" x14ac:dyDescent="0.25">
      <c r="A25" s="77" t="s">
        <v>286</v>
      </c>
      <c r="B25" s="79">
        <v>46031</v>
      </c>
      <c r="C25" t="b">
        <f>D25=A29</f>
        <v>0</v>
      </c>
      <c r="D25" s="28" t="s">
        <v>286</v>
      </c>
    </row>
    <row r="26" spans="1:4" x14ac:dyDescent="0.25">
      <c r="A26" s="75" t="s">
        <v>199</v>
      </c>
      <c r="B26" s="79">
        <v>45922</v>
      </c>
      <c r="C26" t="b">
        <f>D26=A32</f>
        <v>0</v>
      </c>
      <c r="D26" s="21" t="s">
        <v>199</v>
      </c>
    </row>
    <row r="27" spans="1:4" x14ac:dyDescent="0.25">
      <c r="A27" s="75" t="s">
        <v>230</v>
      </c>
      <c r="B27" s="79">
        <v>45884</v>
      </c>
      <c r="C27" t="b">
        <f>D27=A34</f>
        <v>0</v>
      </c>
      <c r="D27" s="21" t="s">
        <v>230</v>
      </c>
    </row>
    <row r="28" spans="1:4" x14ac:dyDescent="0.25">
      <c r="C28" t="b">
        <f>D28=A35</f>
        <v>0</v>
      </c>
      <c r="D28" s="21" t="s">
        <v>336</v>
      </c>
    </row>
    <row r="29" spans="1:4" x14ac:dyDescent="0.25">
      <c r="A29" s="75" t="s">
        <v>176</v>
      </c>
      <c r="B29" s="79">
        <v>45838</v>
      </c>
      <c r="C29" t="b">
        <f>D29=A36</f>
        <v>0</v>
      </c>
      <c r="D29" s="21" t="s">
        <v>176</v>
      </c>
    </row>
    <row r="30" spans="1:4" x14ac:dyDescent="0.25">
      <c r="C30" t="b">
        <f>D30=A37</f>
        <v>0</v>
      </c>
      <c r="D30" s="21" t="s">
        <v>333</v>
      </c>
    </row>
    <row r="31" spans="1:4" x14ac:dyDescent="0.25">
      <c r="C31" t="b">
        <f>D31=A38</f>
        <v>0</v>
      </c>
      <c r="D31" s="21" t="s">
        <v>351</v>
      </c>
    </row>
    <row r="32" spans="1:4" x14ac:dyDescent="0.25">
      <c r="A32" s="75" t="s">
        <v>196</v>
      </c>
      <c r="B32" s="79">
        <v>45799</v>
      </c>
      <c r="C32" t="b">
        <f t="shared" ref="C32:C42" si="1">D32=A41</f>
        <v>0</v>
      </c>
      <c r="D32" s="21" t="s">
        <v>196</v>
      </c>
    </row>
    <row r="33" spans="1:4" x14ac:dyDescent="0.25">
      <c r="C33" t="b">
        <f t="shared" si="1"/>
        <v>0</v>
      </c>
      <c r="D33" s="21" t="s">
        <v>374</v>
      </c>
    </row>
    <row r="34" spans="1:4" x14ac:dyDescent="0.25">
      <c r="A34" s="75" t="s">
        <v>135</v>
      </c>
      <c r="B34" s="79">
        <v>45730</v>
      </c>
      <c r="C34" t="b">
        <f t="shared" si="1"/>
        <v>0</v>
      </c>
      <c r="D34" s="21" t="s">
        <v>135</v>
      </c>
    </row>
    <row r="35" spans="1:4" x14ac:dyDescent="0.25">
      <c r="A35" s="75" t="s">
        <v>264</v>
      </c>
      <c r="B35" s="79">
        <v>45943</v>
      </c>
      <c r="C35" t="b">
        <f t="shared" si="1"/>
        <v>0</v>
      </c>
      <c r="D35" s="24" t="s">
        <v>264</v>
      </c>
    </row>
    <row r="36" spans="1:4" x14ac:dyDescent="0.25">
      <c r="A36" s="76" t="s">
        <v>162</v>
      </c>
      <c r="B36" s="79">
        <v>45747</v>
      </c>
      <c r="C36" t="b">
        <f t="shared" si="1"/>
        <v>0</v>
      </c>
      <c r="D36" s="21" t="s">
        <v>162</v>
      </c>
    </row>
    <row r="37" spans="1:4" x14ac:dyDescent="0.25">
      <c r="A37" s="75" t="s">
        <v>187</v>
      </c>
      <c r="B37" s="79">
        <v>45807</v>
      </c>
      <c r="C37" t="b">
        <f t="shared" si="1"/>
        <v>0</v>
      </c>
      <c r="D37" s="21" t="s">
        <v>187</v>
      </c>
    </row>
    <row r="38" spans="1:4" x14ac:dyDescent="0.25">
      <c r="A38" s="75" t="s">
        <v>63</v>
      </c>
      <c r="B38" s="79">
        <v>45670</v>
      </c>
      <c r="C38" t="b">
        <f t="shared" si="1"/>
        <v>0</v>
      </c>
      <c r="D38" s="21" t="s">
        <v>63</v>
      </c>
    </row>
    <row r="39" spans="1:4" x14ac:dyDescent="0.25">
      <c r="C39" t="b">
        <f t="shared" si="1"/>
        <v>0</v>
      </c>
      <c r="D39" s="21" t="s">
        <v>368</v>
      </c>
    </row>
    <row r="40" spans="1:4" x14ac:dyDescent="0.25">
      <c r="C40" t="b">
        <f t="shared" si="1"/>
        <v>0</v>
      </c>
      <c r="D40" s="21" t="s">
        <v>365</v>
      </c>
    </row>
    <row r="41" spans="1:4" x14ac:dyDescent="0.25">
      <c r="A41" s="75" t="s">
        <v>213</v>
      </c>
      <c r="B41" s="79">
        <v>45839</v>
      </c>
      <c r="C41" t="b">
        <f t="shared" si="1"/>
        <v>0</v>
      </c>
      <c r="D41" s="21" t="s">
        <v>213</v>
      </c>
    </row>
    <row r="42" spans="1:4" x14ac:dyDescent="0.25">
      <c r="A42" s="75" t="s">
        <v>437</v>
      </c>
      <c r="B42" s="79">
        <v>45636</v>
      </c>
      <c r="C42" t="b">
        <f t="shared" si="1"/>
        <v>0</v>
      </c>
      <c r="D42" s="21" t="s">
        <v>60</v>
      </c>
    </row>
    <row r="43" spans="1:4" x14ac:dyDescent="0.25">
      <c r="A43" s="75" t="s">
        <v>102</v>
      </c>
      <c r="B43" s="79">
        <v>45692</v>
      </c>
      <c r="C43" t="b">
        <f>D43=A53</f>
        <v>0</v>
      </c>
      <c r="D43" s="21" t="s">
        <v>102</v>
      </c>
    </row>
    <row r="44" spans="1:4" x14ac:dyDescent="0.25">
      <c r="A44" s="75" t="s">
        <v>78</v>
      </c>
      <c r="B44" s="79">
        <v>45636</v>
      </c>
      <c r="C44" t="b">
        <f>D44=A56</f>
        <v>0</v>
      </c>
      <c r="D44" s="21" t="s">
        <v>78</v>
      </c>
    </row>
    <row r="45" spans="1:4" x14ac:dyDescent="0.25">
      <c r="A45" s="75" t="s">
        <v>438</v>
      </c>
      <c r="B45" s="79">
        <v>45670</v>
      </c>
      <c r="C45" t="b">
        <f t="shared" ref="C45:C54" si="2">D45=A58</f>
        <v>0</v>
      </c>
      <c r="D45" s="21" t="s">
        <v>88</v>
      </c>
    </row>
    <row r="46" spans="1:4" x14ac:dyDescent="0.25">
      <c r="A46" s="75" t="s">
        <v>123</v>
      </c>
      <c r="B46" s="79"/>
      <c r="C46" t="b">
        <f t="shared" si="2"/>
        <v>0</v>
      </c>
      <c r="D46" s="21" t="s">
        <v>123</v>
      </c>
    </row>
    <row r="47" spans="1:4" x14ac:dyDescent="0.25">
      <c r="A47" s="75" t="s">
        <v>439</v>
      </c>
      <c r="B47" s="79">
        <v>45694</v>
      </c>
      <c r="C47" t="b">
        <f t="shared" si="2"/>
        <v>0</v>
      </c>
      <c r="D47" s="21" t="s">
        <v>91</v>
      </c>
    </row>
    <row r="48" spans="1:4" x14ac:dyDescent="0.25">
      <c r="A48" s="75" t="s">
        <v>81</v>
      </c>
      <c r="B48" s="79">
        <v>45636</v>
      </c>
      <c r="C48" t="b">
        <f t="shared" si="2"/>
        <v>0</v>
      </c>
      <c r="D48" s="21" t="s">
        <v>81</v>
      </c>
    </row>
    <row r="49" spans="1:4" x14ac:dyDescent="0.25">
      <c r="A49" s="75" t="s">
        <v>205</v>
      </c>
      <c r="B49" s="79">
        <v>45799</v>
      </c>
      <c r="C49" t="b">
        <f t="shared" si="2"/>
        <v>0</v>
      </c>
      <c r="D49" s="21" t="s">
        <v>205</v>
      </c>
    </row>
    <row r="50" spans="1:4" x14ac:dyDescent="0.25">
      <c r="A50" s="75" t="s">
        <v>170</v>
      </c>
      <c r="B50" s="79"/>
      <c r="C50" t="b">
        <f t="shared" si="2"/>
        <v>0</v>
      </c>
      <c r="D50" s="21" t="s">
        <v>170</v>
      </c>
    </row>
    <row r="51" spans="1:4" x14ac:dyDescent="0.25">
      <c r="A51" s="75" t="s">
        <v>147</v>
      </c>
      <c r="B51" s="79">
        <v>45716</v>
      </c>
      <c r="C51" t="b">
        <f t="shared" si="2"/>
        <v>0</v>
      </c>
      <c r="D51" s="21" t="s">
        <v>147</v>
      </c>
    </row>
    <row r="52" spans="1:4" x14ac:dyDescent="0.25">
      <c r="C52" t="b">
        <f t="shared" si="2"/>
        <v>0</v>
      </c>
      <c r="D52" s="21" t="s">
        <v>354</v>
      </c>
    </row>
    <row r="53" spans="1:4" x14ac:dyDescent="0.25">
      <c r="A53" s="75" t="s">
        <v>144</v>
      </c>
      <c r="B53" s="79"/>
      <c r="C53" t="b">
        <f t="shared" si="2"/>
        <v>0</v>
      </c>
      <c r="D53" s="21" t="s">
        <v>144</v>
      </c>
    </row>
    <row r="54" spans="1:4" x14ac:dyDescent="0.25">
      <c r="C54" t="b">
        <f t="shared" si="2"/>
        <v>0</v>
      </c>
      <c r="D54" s="25" t="s">
        <v>359</v>
      </c>
    </row>
    <row r="55" spans="1:4" x14ac:dyDescent="0.25">
      <c r="C55" t="b">
        <f>D55=A70</f>
        <v>0</v>
      </c>
      <c r="D55" s="21" t="s">
        <v>348</v>
      </c>
    </row>
    <row r="56" spans="1:4" x14ac:dyDescent="0.25">
      <c r="A56" s="77" t="s">
        <v>291</v>
      </c>
      <c r="B56" s="79">
        <v>46031</v>
      </c>
      <c r="C56" t="e">
        <f>D56=#REF!</f>
        <v>#REF!</v>
      </c>
      <c r="D56" s="90" t="s">
        <v>291</v>
      </c>
    </row>
    <row r="57" spans="1:4" x14ac:dyDescent="0.25">
      <c r="C57" t="b">
        <f>D57=A72</f>
        <v>0</v>
      </c>
      <c r="D57" s="21" t="s">
        <v>321</v>
      </c>
    </row>
    <row r="58" spans="1:4" x14ac:dyDescent="0.25">
      <c r="A58" s="75" t="s">
        <v>115</v>
      </c>
      <c r="B58" s="79">
        <v>45694</v>
      </c>
      <c r="C58" t="b">
        <f>D58=A73</f>
        <v>0</v>
      </c>
      <c r="D58" s="21" t="s">
        <v>115</v>
      </c>
    </row>
    <row r="59" spans="1:4" x14ac:dyDescent="0.25">
      <c r="A59" s="75" t="s">
        <v>75</v>
      </c>
      <c r="B59" s="79">
        <v>45636</v>
      </c>
      <c r="C59" t="b">
        <f>D59=A74</f>
        <v>0</v>
      </c>
      <c r="D59" s="21" t="s">
        <v>75</v>
      </c>
    </row>
    <row r="60" spans="1:4" x14ac:dyDescent="0.25">
      <c r="A60" s="75" t="s">
        <v>300</v>
      </c>
      <c r="B60" s="79">
        <v>46031</v>
      </c>
      <c r="C60" t="b">
        <f>D60=A75</f>
        <v>0</v>
      </c>
      <c r="D60" s="21" t="s">
        <v>300</v>
      </c>
    </row>
    <row r="61" spans="1:4" x14ac:dyDescent="0.25">
      <c r="A61" s="75" t="s">
        <v>249</v>
      </c>
      <c r="B61" s="79">
        <v>45943</v>
      </c>
      <c r="C61" t="b">
        <f>D61=A76</f>
        <v>0</v>
      </c>
      <c r="D61" s="25" t="s">
        <v>249</v>
      </c>
    </row>
    <row r="62" spans="1:4" x14ac:dyDescent="0.25">
      <c r="A62" s="75" t="s">
        <v>112</v>
      </c>
      <c r="B62" s="79">
        <v>45694</v>
      </c>
      <c r="C62" t="b">
        <f t="shared" ref="C62:C73" si="3">D62=A78</f>
        <v>0</v>
      </c>
      <c r="D62" s="21" t="s">
        <v>112</v>
      </c>
    </row>
    <row r="63" spans="1:4" x14ac:dyDescent="0.25">
      <c r="A63" s="75" t="s">
        <v>275</v>
      </c>
      <c r="B63" s="79">
        <v>46031</v>
      </c>
      <c r="C63" t="b">
        <f t="shared" si="3"/>
        <v>0</v>
      </c>
      <c r="D63" s="21" t="s">
        <v>275</v>
      </c>
    </row>
    <row r="64" spans="1:4" x14ac:dyDescent="0.25">
      <c r="A64" s="75" t="s">
        <v>138</v>
      </c>
      <c r="B64" s="79"/>
      <c r="C64" t="b">
        <f t="shared" si="3"/>
        <v>0</v>
      </c>
      <c r="D64" s="21" t="s">
        <v>138</v>
      </c>
    </row>
    <row r="65" spans="1:4" x14ac:dyDescent="0.25">
      <c r="A65" s="75" t="s">
        <v>220</v>
      </c>
      <c r="B65" s="79">
        <v>45839</v>
      </c>
      <c r="C65" t="b">
        <f t="shared" si="3"/>
        <v>0</v>
      </c>
      <c r="D65" s="21" t="s">
        <v>220</v>
      </c>
    </row>
    <row r="66" spans="1:4" x14ac:dyDescent="0.25">
      <c r="A66" s="75" t="s">
        <v>193</v>
      </c>
      <c r="B66" s="79">
        <v>45828</v>
      </c>
      <c r="C66" t="b">
        <f t="shared" si="3"/>
        <v>0</v>
      </c>
      <c r="D66" s="89" t="s">
        <v>193</v>
      </c>
    </row>
    <row r="67" spans="1:4" x14ac:dyDescent="0.25">
      <c r="A67" s="75" t="s">
        <v>119</v>
      </c>
      <c r="B67" s="79">
        <v>45712</v>
      </c>
      <c r="C67" t="b">
        <f t="shared" si="3"/>
        <v>0</v>
      </c>
      <c r="D67" s="30" t="s">
        <v>119</v>
      </c>
    </row>
    <row r="68" spans="1:4" x14ac:dyDescent="0.25">
      <c r="C68" t="b">
        <f t="shared" si="3"/>
        <v>0</v>
      </c>
      <c r="D68" s="21" t="s">
        <v>316</v>
      </c>
    </row>
    <row r="69" spans="1:4" x14ac:dyDescent="0.25">
      <c r="C69" t="b">
        <f t="shared" si="3"/>
        <v>0</v>
      </c>
      <c r="D69" s="21" t="s">
        <v>362</v>
      </c>
    </row>
    <row r="70" spans="1:4" x14ac:dyDescent="0.25">
      <c r="A70" s="75" t="s">
        <v>150</v>
      </c>
      <c r="B70" s="79">
        <v>45769</v>
      </c>
      <c r="C70" t="b">
        <f t="shared" si="3"/>
        <v>0</v>
      </c>
      <c r="D70" s="21" t="s">
        <v>150</v>
      </c>
    </row>
    <row r="71" spans="1:4" x14ac:dyDescent="0.25">
      <c r="C71" t="b">
        <f t="shared" si="3"/>
        <v>0</v>
      </c>
      <c r="D71" s="21" t="s">
        <v>380</v>
      </c>
    </row>
    <row r="72" spans="1:4" x14ac:dyDescent="0.25">
      <c r="A72" s="75" t="s">
        <v>165</v>
      </c>
      <c r="B72" s="79">
        <v>45807</v>
      </c>
      <c r="C72" t="b">
        <f t="shared" si="3"/>
        <v>0</v>
      </c>
      <c r="D72" s="21" t="s">
        <v>165</v>
      </c>
    </row>
    <row r="73" spans="1:4" x14ac:dyDescent="0.25">
      <c r="A73" s="85" t="s">
        <v>297</v>
      </c>
      <c r="B73" s="79">
        <v>46031</v>
      </c>
      <c r="C73" t="b">
        <f t="shared" si="3"/>
        <v>0</v>
      </c>
      <c r="D73" s="28" t="s">
        <v>297</v>
      </c>
    </row>
    <row r="74" spans="1:4" x14ac:dyDescent="0.25">
      <c r="A74" s="75" t="s">
        <v>272</v>
      </c>
      <c r="B74" s="79">
        <v>46031</v>
      </c>
      <c r="D74" s="21" t="s">
        <v>272</v>
      </c>
    </row>
    <row r="75" spans="1:4" x14ac:dyDescent="0.25">
      <c r="A75" s="84" t="s">
        <v>235</v>
      </c>
      <c r="B75" s="79">
        <v>45880</v>
      </c>
      <c r="D75" s="21" t="s">
        <v>235</v>
      </c>
    </row>
    <row r="76" spans="1:4" x14ac:dyDescent="0.25">
      <c r="A76" s="75" t="s">
        <v>253</v>
      </c>
      <c r="B76" s="79">
        <v>45943</v>
      </c>
      <c r="D76" s="21" t="s">
        <v>253</v>
      </c>
    </row>
    <row r="77" spans="1:4" x14ac:dyDescent="0.25">
      <c r="D77" s="21" t="s">
        <v>325</v>
      </c>
    </row>
    <row r="78" spans="1:4" x14ac:dyDescent="0.25">
      <c r="A78" s="75" t="s">
        <v>311</v>
      </c>
      <c r="B78" s="80">
        <v>46037</v>
      </c>
      <c r="D78" s="21" t="s">
        <v>311</v>
      </c>
    </row>
    <row r="79" spans="1:4" x14ac:dyDescent="0.25">
      <c r="A79" s="75" t="s">
        <v>106</v>
      </c>
      <c r="B79" s="79">
        <v>45694</v>
      </c>
      <c r="D79" s="21" t="s">
        <v>106</v>
      </c>
    </row>
    <row r="80" spans="1:4" x14ac:dyDescent="0.25">
      <c r="A80" s="75" t="s">
        <v>261</v>
      </c>
      <c r="B80" s="79">
        <v>45943</v>
      </c>
      <c r="D80" s="21" t="s">
        <v>261</v>
      </c>
    </row>
    <row r="81" spans="1:4" x14ac:dyDescent="0.25">
      <c r="A81" s="83" t="s">
        <v>71</v>
      </c>
      <c r="B81" s="80">
        <v>45636</v>
      </c>
      <c r="D81" s="21" t="s">
        <v>71</v>
      </c>
    </row>
    <row r="82" spans="1:4" x14ac:dyDescent="0.25">
      <c r="A82" s="75" t="s">
        <v>190</v>
      </c>
      <c r="B82" s="80">
        <v>45776</v>
      </c>
      <c r="D82" s="21" t="s">
        <v>190</v>
      </c>
    </row>
    <row r="83" spans="1:4" x14ac:dyDescent="0.25">
      <c r="A83" s="77" t="s">
        <v>306</v>
      </c>
      <c r="B83" s="80">
        <v>46037</v>
      </c>
      <c r="D83" s="28" t="s">
        <v>306</v>
      </c>
    </row>
    <row r="84" spans="1:4" x14ac:dyDescent="0.25">
      <c r="A84" s="75" t="s">
        <v>246</v>
      </c>
      <c r="B84" s="80">
        <v>45880</v>
      </c>
      <c r="D84" s="21" t="s">
        <v>246</v>
      </c>
    </row>
    <row r="85" spans="1:4" x14ac:dyDescent="0.25">
      <c r="A85" s="75" t="s">
        <v>109</v>
      </c>
      <c r="B85" s="80">
        <v>45694</v>
      </c>
      <c r="D85" s="21" t="s">
        <v>109</v>
      </c>
    </row>
    <row r="86" spans="1:4" x14ac:dyDescent="0.25">
      <c r="A86" s="88" t="s">
        <v>208</v>
      </c>
      <c r="B86" s="80">
        <v>45839</v>
      </c>
      <c r="D86" s="21" t="s">
        <v>208</v>
      </c>
    </row>
    <row r="87" spans="1:4" x14ac:dyDescent="0.25">
      <c r="A87" s="86" t="s">
        <v>68</v>
      </c>
      <c r="B87" s="80">
        <v>45670</v>
      </c>
      <c r="D87" s="21" t="s">
        <v>68</v>
      </c>
    </row>
    <row r="88" spans="1:4" x14ac:dyDescent="0.25">
      <c r="A88" s="88" t="s">
        <v>303</v>
      </c>
      <c r="B88" s="80">
        <v>46031</v>
      </c>
      <c r="D88" s="21" t="s">
        <v>303</v>
      </c>
    </row>
    <row r="89" spans="1:4" x14ac:dyDescent="0.25">
      <c r="A89" s="88" t="s">
        <v>52</v>
      </c>
      <c r="B89" s="80">
        <v>45636</v>
      </c>
      <c r="D89" s="21" t="s">
        <v>52</v>
      </c>
    </row>
    <row r="90" spans="1:4" x14ac:dyDescent="0.25">
      <c r="A90" s="88" t="s">
        <v>173</v>
      </c>
      <c r="B90" s="79">
        <v>45754</v>
      </c>
      <c r="D90" s="21" t="s">
        <v>173</v>
      </c>
    </row>
    <row r="91" spans="1:4" x14ac:dyDescent="0.25">
      <c r="A91" s="83" t="s">
        <v>216</v>
      </c>
      <c r="B91" s="80">
        <v>45839</v>
      </c>
      <c r="D91" s="89" t="s">
        <v>216</v>
      </c>
    </row>
    <row r="92" spans="1:4" x14ac:dyDescent="0.25">
      <c r="A92" s="87"/>
      <c r="B92" s="81"/>
    </row>
    <row r="93" spans="1:4" x14ac:dyDescent="0.25">
      <c r="A93" s="87"/>
      <c r="B93" s="81"/>
    </row>
    <row r="94" spans="1:4" x14ac:dyDescent="0.25">
      <c r="A94" s="87"/>
      <c r="B94" s="81"/>
    </row>
    <row r="95" spans="1:4" x14ac:dyDescent="0.25">
      <c r="A95" s="87"/>
      <c r="B95" s="81"/>
    </row>
    <row r="96" spans="1:4" x14ac:dyDescent="0.25">
      <c r="A96" s="87"/>
      <c r="B96" s="81"/>
    </row>
    <row r="97" spans="1:2" x14ac:dyDescent="0.25">
      <c r="A97" s="87"/>
      <c r="B97" s="81"/>
    </row>
    <row r="98" spans="1:2" x14ac:dyDescent="0.25">
      <c r="A98" s="87"/>
      <c r="B98" s="81"/>
    </row>
    <row r="99" spans="1:2" x14ac:dyDescent="0.25">
      <c r="A99" s="87"/>
      <c r="B99" s="81"/>
    </row>
    <row r="100" spans="1:2" x14ac:dyDescent="0.25">
      <c r="A100" s="87"/>
      <c r="B100" s="81"/>
    </row>
    <row r="101" spans="1:2" x14ac:dyDescent="0.25">
      <c r="A101" s="87"/>
      <c r="B101" s="81"/>
    </row>
    <row r="102" spans="1:2" x14ac:dyDescent="0.25">
      <c r="A102" s="87"/>
      <c r="B102" s="81"/>
    </row>
    <row r="103" spans="1:2" x14ac:dyDescent="0.25">
      <c r="A103" s="87"/>
      <c r="B103" s="81"/>
    </row>
    <row r="104" spans="1:2" x14ac:dyDescent="0.25">
      <c r="A104" s="87"/>
      <c r="B104" s="81"/>
    </row>
    <row r="105" spans="1:2" x14ac:dyDescent="0.25">
      <c r="A105" s="87"/>
      <c r="B105" s="81"/>
    </row>
    <row r="106" spans="1:2" x14ac:dyDescent="0.25">
      <c r="A106" s="87"/>
      <c r="B106" s="81"/>
    </row>
    <row r="107" spans="1:2" x14ac:dyDescent="0.25">
      <c r="A107" s="87"/>
      <c r="B107" s="81"/>
    </row>
    <row r="108" spans="1:2" x14ac:dyDescent="0.25">
      <c r="A108" s="87"/>
      <c r="B108" s="81"/>
    </row>
    <row r="109" spans="1:2" x14ac:dyDescent="0.25">
      <c r="A109" s="87"/>
      <c r="B109" s="81"/>
    </row>
    <row r="110" spans="1:2" x14ac:dyDescent="0.25">
      <c r="A110" s="87"/>
      <c r="B110" s="81"/>
    </row>
    <row r="111" spans="1:2" x14ac:dyDescent="0.25">
      <c r="A111" s="87"/>
      <c r="B111" s="81"/>
    </row>
    <row r="112" spans="1:2" x14ac:dyDescent="0.25">
      <c r="A112" s="87"/>
      <c r="B112" s="81"/>
    </row>
    <row r="113" spans="1:2" x14ac:dyDescent="0.25">
      <c r="A113" s="87"/>
      <c r="B113" s="81"/>
    </row>
    <row r="114" spans="1:2" x14ac:dyDescent="0.25">
      <c r="A114" s="87"/>
      <c r="B114" s="81"/>
    </row>
    <row r="115" spans="1:2" x14ac:dyDescent="0.25">
      <c r="A115" s="87"/>
      <c r="B115" s="81"/>
    </row>
    <row r="116" spans="1:2" x14ac:dyDescent="0.25">
      <c r="A116" s="87"/>
      <c r="B116" s="81"/>
    </row>
    <row r="117" spans="1:2" x14ac:dyDescent="0.25">
      <c r="A117" s="87"/>
      <c r="B117" s="81"/>
    </row>
    <row r="118" spans="1:2" x14ac:dyDescent="0.25">
      <c r="A118" s="87"/>
      <c r="B118" s="81"/>
    </row>
    <row r="119" spans="1:2" x14ac:dyDescent="0.25">
      <c r="A119" s="87"/>
      <c r="B119" s="81"/>
    </row>
    <row r="120" spans="1:2" x14ac:dyDescent="0.25">
      <c r="A120" s="87"/>
      <c r="B120" s="81"/>
    </row>
    <row r="121" spans="1:2" x14ac:dyDescent="0.25">
      <c r="A121" s="87"/>
      <c r="B121" s="81"/>
    </row>
    <row r="122" spans="1:2" x14ac:dyDescent="0.25">
      <c r="A122" s="87"/>
      <c r="B122" s="81"/>
    </row>
    <row r="123" spans="1:2" x14ac:dyDescent="0.25">
      <c r="A123" s="87"/>
      <c r="B123" s="81"/>
    </row>
    <row r="124" spans="1:2" x14ac:dyDescent="0.25">
      <c r="A124" s="87"/>
      <c r="B124" s="81"/>
    </row>
    <row r="125" spans="1:2" x14ac:dyDescent="0.25">
      <c r="A125" s="87"/>
      <c r="B125" s="81"/>
    </row>
    <row r="126" spans="1:2" x14ac:dyDescent="0.25">
      <c r="A126" s="87"/>
      <c r="B126" s="81"/>
    </row>
    <row r="127" spans="1:2" x14ac:dyDescent="0.25">
      <c r="A127" s="87"/>
      <c r="B127" s="81"/>
    </row>
    <row r="128" spans="1:2" x14ac:dyDescent="0.25">
      <c r="A128" s="87"/>
      <c r="B128" s="81"/>
    </row>
    <row r="129" spans="1:2" x14ac:dyDescent="0.25">
      <c r="A129" s="87"/>
      <c r="B129" s="81"/>
    </row>
    <row r="130" spans="1:2" x14ac:dyDescent="0.25">
      <c r="A130" s="87"/>
      <c r="B130" s="81"/>
    </row>
    <row r="131" spans="1:2" x14ac:dyDescent="0.25">
      <c r="A131" s="87"/>
      <c r="B131" s="81"/>
    </row>
    <row r="132" spans="1:2" x14ac:dyDescent="0.25">
      <c r="A132" s="87"/>
      <c r="B132" s="81"/>
    </row>
    <row r="133" spans="1:2" x14ac:dyDescent="0.25">
      <c r="A133" s="87"/>
      <c r="B133" s="81"/>
    </row>
    <row r="134" spans="1:2" x14ac:dyDescent="0.25">
      <c r="A134" s="87"/>
      <c r="B134" s="81"/>
    </row>
    <row r="135" spans="1:2" x14ac:dyDescent="0.25">
      <c r="A135" s="87"/>
      <c r="B135" s="81"/>
    </row>
    <row r="136" spans="1:2" x14ac:dyDescent="0.25">
      <c r="A136" s="87"/>
      <c r="B136" s="81"/>
    </row>
    <row r="137" spans="1:2" x14ac:dyDescent="0.25">
      <c r="A137" s="87"/>
      <c r="B137" s="81"/>
    </row>
    <row r="138" spans="1:2" x14ac:dyDescent="0.25">
      <c r="A138" s="87"/>
      <c r="B138" s="81"/>
    </row>
    <row r="139" spans="1:2" x14ac:dyDescent="0.25">
      <c r="A139" s="87"/>
      <c r="B139" s="81"/>
    </row>
    <row r="140" spans="1:2" x14ac:dyDescent="0.25">
      <c r="A140" s="87"/>
      <c r="B140" s="81"/>
    </row>
    <row r="141" spans="1:2" x14ac:dyDescent="0.25">
      <c r="A141" s="87"/>
      <c r="B141" s="81"/>
    </row>
    <row r="142" spans="1:2" x14ac:dyDescent="0.25">
      <c r="A142" s="87"/>
      <c r="B142" s="81"/>
    </row>
    <row r="143" spans="1:2" x14ac:dyDescent="0.25">
      <c r="A143" s="87"/>
      <c r="B143" s="81"/>
    </row>
    <row r="144" spans="1:2" x14ac:dyDescent="0.25">
      <c r="A144" s="87"/>
      <c r="B144" s="81"/>
    </row>
    <row r="145" spans="1:2" x14ac:dyDescent="0.25">
      <c r="A145" s="87"/>
      <c r="B145" s="81"/>
    </row>
    <row r="146" spans="1:2" x14ac:dyDescent="0.25">
      <c r="A146" s="87"/>
      <c r="B146" s="81"/>
    </row>
    <row r="147" spans="1:2" x14ac:dyDescent="0.25">
      <c r="A147" s="87"/>
      <c r="B147" s="81"/>
    </row>
    <row r="148" spans="1:2" x14ac:dyDescent="0.25">
      <c r="A148" s="87"/>
      <c r="B148" s="81"/>
    </row>
    <row r="149" spans="1:2" x14ac:dyDescent="0.25">
      <c r="A149" s="87"/>
      <c r="B149" s="81"/>
    </row>
    <row r="150" spans="1:2" x14ac:dyDescent="0.25">
      <c r="A150" s="87"/>
      <c r="B150" s="81"/>
    </row>
    <row r="151" spans="1:2" x14ac:dyDescent="0.25">
      <c r="A151" s="87"/>
      <c r="B151" s="81"/>
    </row>
    <row r="152" spans="1:2" x14ac:dyDescent="0.25">
      <c r="A152" s="87"/>
      <c r="B152" s="81"/>
    </row>
    <row r="153" spans="1:2" x14ac:dyDescent="0.25">
      <c r="A153" s="87"/>
      <c r="B153" s="81"/>
    </row>
    <row r="154" spans="1:2" x14ac:dyDescent="0.25">
      <c r="A154" s="87"/>
      <c r="B154" s="81"/>
    </row>
    <row r="155" spans="1:2" x14ac:dyDescent="0.25">
      <c r="A155" s="87"/>
      <c r="B155" s="81"/>
    </row>
    <row r="156" spans="1:2" x14ac:dyDescent="0.25">
      <c r="A156" s="87"/>
      <c r="B156" s="81"/>
    </row>
    <row r="157" spans="1:2" x14ac:dyDescent="0.25">
      <c r="A157" s="87"/>
      <c r="B157" s="81"/>
    </row>
    <row r="158" spans="1:2" x14ac:dyDescent="0.25">
      <c r="A158" s="87"/>
      <c r="B158" s="81"/>
    </row>
    <row r="159" spans="1:2" x14ac:dyDescent="0.25">
      <c r="A159" s="87"/>
      <c r="B159" s="81"/>
    </row>
    <row r="160" spans="1:2" x14ac:dyDescent="0.25">
      <c r="A160" s="87"/>
      <c r="B160" s="81"/>
    </row>
    <row r="161" spans="1:2" x14ac:dyDescent="0.25">
      <c r="A161" s="87"/>
      <c r="B161" s="81"/>
    </row>
    <row r="162" spans="1:2" x14ac:dyDescent="0.25">
      <c r="A162" s="87"/>
      <c r="B162" s="81"/>
    </row>
    <row r="163" spans="1:2" x14ac:dyDescent="0.25">
      <c r="A163" s="87"/>
      <c r="B163" s="81"/>
    </row>
    <row r="164" spans="1:2" x14ac:dyDescent="0.25">
      <c r="A164" s="87"/>
      <c r="B164" s="81"/>
    </row>
    <row r="165" spans="1:2" x14ac:dyDescent="0.25">
      <c r="A165" s="87"/>
      <c r="B165" s="81"/>
    </row>
    <row r="166" spans="1:2" x14ac:dyDescent="0.25">
      <c r="A166" s="87"/>
      <c r="B166" s="81"/>
    </row>
    <row r="167" spans="1:2" x14ac:dyDescent="0.25">
      <c r="A167" s="87"/>
      <c r="B167" s="81"/>
    </row>
    <row r="168" spans="1:2" x14ac:dyDescent="0.25">
      <c r="A168" s="87"/>
      <c r="B168" s="81"/>
    </row>
    <row r="169" spans="1:2" x14ac:dyDescent="0.25">
      <c r="A169" s="87"/>
      <c r="B169" s="81"/>
    </row>
    <row r="170" spans="1:2" x14ac:dyDescent="0.25">
      <c r="A170" s="87"/>
      <c r="B170" s="81"/>
    </row>
    <row r="171" spans="1:2" x14ac:dyDescent="0.25">
      <c r="A171" s="87"/>
      <c r="B171" s="81"/>
    </row>
    <row r="172" spans="1:2" x14ac:dyDescent="0.25">
      <c r="A172" s="87"/>
      <c r="B172" s="81"/>
    </row>
    <row r="173" spans="1:2" x14ac:dyDescent="0.25">
      <c r="A173" s="87"/>
      <c r="B173" s="81"/>
    </row>
    <row r="174" spans="1:2" x14ac:dyDescent="0.25">
      <c r="A174" s="87"/>
      <c r="B174" s="81"/>
    </row>
    <row r="175" spans="1:2" x14ac:dyDescent="0.25">
      <c r="A175" s="87"/>
      <c r="B175" s="81"/>
    </row>
    <row r="176" spans="1:2" x14ac:dyDescent="0.25">
      <c r="A176" s="87"/>
      <c r="B176" s="81"/>
    </row>
    <row r="177" spans="1:2" x14ac:dyDescent="0.25">
      <c r="A177" s="87"/>
      <c r="B177" s="81"/>
    </row>
    <row r="178" spans="1:2" x14ac:dyDescent="0.25">
      <c r="A178" s="87"/>
      <c r="B178" s="81"/>
    </row>
    <row r="179" spans="1:2" x14ac:dyDescent="0.25">
      <c r="A179" s="87"/>
      <c r="B179" s="81"/>
    </row>
    <row r="180" spans="1:2" x14ac:dyDescent="0.25">
      <c r="A180" s="87"/>
      <c r="B180" s="81"/>
    </row>
    <row r="181" spans="1:2" x14ac:dyDescent="0.25">
      <c r="A181" s="87"/>
      <c r="B181" s="81"/>
    </row>
    <row r="182" spans="1:2" x14ac:dyDescent="0.25">
      <c r="A182" s="87"/>
      <c r="B182" s="81"/>
    </row>
    <row r="183" spans="1:2" x14ac:dyDescent="0.25">
      <c r="A183" s="87"/>
      <c r="B183" s="81"/>
    </row>
    <row r="184" spans="1:2" x14ac:dyDescent="0.25">
      <c r="A184" s="87"/>
      <c r="B184" s="81"/>
    </row>
    <row r="185" spans="1:2" x14ac:dyDescent="0.25">
      <c r="A185" s="87"/>
      <c r="B185" s="81"/>
    </row>
    <row r="186" spans="1:2" x14ac:dyDescent="0.25">
      <c r="A186" s="87"/>
      <c r="B186" s="81"/>
    </row>
    <row r="187" spans="1:2" x14ac:dyDescent="0.25">
      <c r="A187" s="87"/>
      <c r="B187" s="81"/>
    </row>
    <row r="188" spans="1:2" x14ac:dyDescent="0.25">
      <c r="A188" s="87"/>
      <c r="B188" s="81"/>
    </row>
    <row r="189" spans="1:2" x14ac:dyDescent="0.25">
      <c r="A189" s="87"/>
      <c r="B189" s="81"/>
    </row>
    <row r="190" spans="1:2" x14ac:dyDescent="0.25">
      <c r="A190" s="87"/>
      <c r="B190" s="81"/>
    </row>
    <row r="191" spans="1:2" x14ac:dyDescent="0.25">
      <c r="A191" s="87"/>
      <c r="B191" s="81"/>
    </row>
    <row r="192" spans="1:2" x14ac:dyDescent="0.25">
      <c r="A192" s="87"/>
      <c r="B192" s="81"/>
    </row>
    <row r="193" spans="1:2" x14ac:dyDescent="0.25">
      <c r="A193" s="87"/>
      <c r="B193" s="81"/>
    </row>
    <row r="194" spans="1:2" x14ac:dyDescent="0.25">
      <c r="A194" s="87"/>
      <c r="B194" s="81"/>
    </row>
    <row r="195" spans="1:2" x14ac:dyDescent="0.25">
      <c r="A195" s="87"/>
      <c r="B195" s="81"/>
    </row>
    <row r="196" spans="1:2" x14ac:dyDescent="0.25">
      <c r="A196" s="87"/>
      <c r="B196" s="81"/>
    </row>
    <row r="197" spans="1:2" x14ac:dyDescent="0.25">
      <c r="A197" s="87"/>
      <c r="B197" s="81"/>
    </row>
    <row r="198" spans="1:2" x14ac:dyDescent="0.25">
      <c r="A198" s="87"/>
      <c r="B198" s="81"/>
    </row>
    <row r="199" spans="1:2" x14ac:dyDescent="0.25">
      <c r="A199" s="87"/>
      <c r="B199" s="81"/>
    </row>
    <row r="200" spans="1:2" x14ac:dyDescent="0.25">
      <c r="A200" s="87"/>
      <c r="B200" s="81"/>
    </row>
    <row r="201" spans="1:2" x14ac:dyDescent="0.25">
      <c r="A201" s="87"/>
      <c r="B201" s="81"/>
    </row>
    <row r="202" spans="1:2" x14ac:dyDescent="0.25">
      <c r="A202" s="87"/>
      <c r="B202" s="81"/>
    </row>
    <row r="203" spans="1:2" x14ac:dyDescent="0.25">
      <c r="A203" s="87"/>
      <c r="B203" s="81"/>
    </row>
    <row r="204" spans="1:2" x14ac:dyDescent="0.25">
      <c r="A204" s="87"/>
      <c r="B204" s="81"/>
    </row>
    <row r="205" spans="1:2" x14ac:dyDescent="0.25">
      <c r="A205" s="87"/>
      <c r="B205" s="81"/>
    </row>
    <row r="206" spans="1:2" x14ac:dyDescent="0.25">
      <c r="A206" s="87"/>
      <c r="B206" s="81"/>
    </row>
    <row r="207" spans="1:2" x14ac:dyDescent="0.25">
      <c r="A207" s="87"/>
      <c r="B207" s="81"/>
    </row>
    <row r="208" spans="1:2" x14ac:dyDescent="0.25">
      <c r="A208" s="87"/>
      <c r="B208" s="81"/>
    </row>
    <row r="209" spans="1:2" x14ac:dyDescent="0.25">
      <c r="A209" s="87"/>
      <c r="B209" s="81"/>
    </row>
    <row r="210" spans="1:2" x14ac:dyDescent="0.25">
      <c r="A210" s="87"/>
      <c r="B210" s="81"/>
    </row>
    <row r="211" spans="1:2" x14ac:dyDescent="0.25">
      <c r="A211" s="87"/>
      <c r="B211" s="81"/>
    </row>
    <row r="212" spans="1:2" x14ac:dyDescent="0.25">
      <c r="A212" s="87"/>
      <c r="B212" s="81"/>
    </row>
    <row r="213" spans="1:2" x14ac:dyDescent="0.25">
      <c r="A213" s="87"/>
      <c r="B213" s="81"/>
    </row>
    <row r="214" spans="1:2" x14ac:dyDescent="0.25">
      <c r="A214" s="87"/>
      <c r="B214" s="81"/>
    </row>
    <row r="215" spans="1:2" x14ac:dyDescent="0.25">
      <c r="A215" s="87"/>
      <c r="B215" s="81"/>
    </row>
    <row r="216" spans="1:2" x14ac:dyDescent="0.25">
      <c r="A216" s="87"/>
      <c r="B216" s="81"/>
    </row>
    <row r="217" spans="1:2" x14ac:dyDescent="0.25">
      <c r="A217" s="87"/>
      <c r="B217" s="81"/>
    </row>
    <row r="218" spans="1:2" x14ac:dyDescent="0.25">
      <c r="A218" s="87"/>
      <c r="B218" s="81"/>
    </row>
    <row r="219" spans="1:2" x14ac:dyDescent="0.25">
      <c r="A219" s="87"/>
      <c r="B219" s="81"/>
    </row>
    <row r="220" spans="1:2" x14ac:dyDescent="0.25">
      <c r="A220" s="87"/>
      <c r="B220" s="81"/>
    </row>
    <row r="221" spans="1:2" x14ac:dyDescent="0.25">
      <c r="A221" s="87"/>
      <c r="B221" s="81"/>
    </row>
    <row r="222" spans="1:2" x14ac:dyDescent="0.25">
      <c r="A222" s="87"/>
      <c r="B222" s="81"/>
    </row>
    <row r="223" spans="1:2" x14ac:dyDescent="0.25">
      <c r="A223" s="87"/>
      <c r="B223" s="81"/>
    </row>
    <row r="224" spans="1:2" x14ac:dyDescent="0.25">
      <c r="A224" s="87"/>
      <c r="B224" s="81"/>
    </row>
    <row r="225" spans="1:2" x14ac:dyDescent="0.25">
      <c r="A225" s="87"/>
      <c r="B225" s="81"/>
    </row>
    <row r="226" spans="1:2" x14ac:dyDescent="0.25">
      <c r="A226" s="87"/>
      <c r="B226" s="81"/>
    </row>
    <row r="227" spans="1:2" x14ac:dyDescent="0.25">
      <c r="A227" s="87"/>
      <c r="B227" s="81"/>
    </row>
    <row r="228" spans="1:2" x14ac:dyDescent="0.25">
      <c r="A228" s="87"/>
      <c r="B228" s="81"/>
    </row>
    <row r="229" spans="1:2" x14ac:dyDescent="0.25">
      <c r="A229" s="87"/>
      <c r="B229" s="81"/>
    </row>
    <row r="230" spans="1:2" x14ac:dyDescent="0.25">
      <c r="A230" s="87"/>
      <c r="B230" s="81"/>
    </row>
    <row r="231" spans="1:2" x14ac:dyDescent="0.25">
      <c r="A231" s="87"/>
      <c r="B231" s="81"/>
    </row>
    <row r="232" spans="1:2" x14ac:dyDescent="0.25">
      <c r="A232" s="87"/>
      <c r="B232" s="81"/>
    </row>
    <row r="233" spans="1:2" x14ac:dyDescent="0.25">
      <c r="A233" s="87"/>
      <c r="B233" s="81"/>
    </row>
    <row r="234" spans="1:2" x14ac:dyDescent="0.25">
      <c r="A234" s="87"/>
      <c r="B234" s="81"/>
    </row>
    <row r="235" spans="1:2" x14ac:dyDescent="0.25">
      <c r="A235" s="87"/>
      <c r="B235" s="81"/>
    </row>
    <row r="236" spans="1:2" x14ac:dyDescent="0.25">
      <c r="A236" s="87"/>
      <c r="B236" s="81"/>
    </row>
    <row r="237" spans="1:2" x14ac:dyDescent="0.25">
      <c r="A237" s="87"/>
      <c r="B237" s="81"/>
    </row>
    <row r="238" spans="1:2" x14ac:dyDescent="0.25">
      <c r="A238" s="87"/>
      <c r="B238" s="81"/>
    </row>
    <row r="239" spans="1:2" x14ac:dyDescent="0.25">
      <c r="A239" s="87"/>
      <c r="B239" s="81"/>
    </row>
    <row r="240" spans="1:2" x14ac:dyDescent="0.25">
      <c r="A240" s="87"/>
      <c r="B240" s="81"/>
    </row>
    <row r="241" spans="1:2" x14ac:dyDescent="0.25">
      <c r="A241" s="87"/>
      <c r="B241" s="81"/>
    </row>
    <row r="242" spans="1:2" x14ac:dyDescent="0.25">
      <c r="A242" s="87"/>
      <c r="B242" s="81"/>
    </row>
    <row r="243" spans="1:2" x14ac:dyDescent="0.25">
      <c r="A243" s="87"/>
      <c r="B243" s="81"/>
    </row>
    <row r="244" spans="1:2" x14ac:dyDescent="0.25">
      <c r="A244" s="87"/>
      <c r="B244" s="81"/>
    </row>
    <row r="245" spans="1:2" x14ac:dyDescent="0.25">
      <c r="A245" s="87"/>
      <c r="B245" s="81"/>
    </row>
    <row r="246" spans="1:2" x14ac:dyDescent="0.25">
      <c r="A246" s="87"/>
      <c r="B246" s="81"/>
    </row>
    <row r="247" spans="1:2" x14ac:dyDescent="0.25">
      <c r="A247" s="87"/>
      <c r="B247" s="81"/>
    </row>
    <row r="248" spans="1:2" x14ac:dyDescent="0.25">
      <c r="A248" s="87"/>
      <c r="B248" s="81"/>
    </row>
    <row r="249" spans="1:2" x14ac:dyDescent="0.25">
      <c r="A249" s="87"/>
      <c r="B249" s="81"/>
    </row>
    <row r="250" spans="1:2" x14ac:dyDescent="0.25">
      <c r="A250" s="87"/>
      <c r="B250" s="81"/>
    </row>
    <row r="251" spans="1:2" x14ac:dyDescent="0.25">
      <c r="A251" s="87"/>
      <c r="B251" s="81"/>
    </row>
    <row r="252" spans="1:2" x14ac:dyDescent="0.25">
      <c r="A252" s="87"/>
      <c r="B252" s="81"/>
    </row>
    <row r="253" spans="1:2" x14ac:dyDescent="0.25">
      <c r="A253" s="87"/>
      <c r="B253" s="81"/>
    </row>
    <row r="254" spans="1:2" x14ac:dyDescent="0.25">
      <c r="A254" s="87"/>
      <c r="B254" s="81"/>
    </row>
    <row r="255" spans="1:2" x14ac:dyDescent="0.25">
      <c r="A255" s="87"/>
      <c r="B255" s="81"/>
    </row>
    <row r="256" spans="1:2" x14ac:dyDescent="0.25">
      <c r="A256" s="87"/>
      <c r="B256" s="81"/>
    </row>
    <row r="257" spans="1:2" x14ac:dyDescent="0.25">
      <c r="A257" s="87"/>
      <c r="B257" s="81"/>
    </row>
    <row r="258" spans="1:2" x14ac:dyDescent="0.25">
      <c r="A258" s="87"/>
      <c r="B258" s="81"/>
    </row>
    <row r="259" spans="1:2" x14ac:dyDescent="0.25">
      <c r="A259" s="87"/>
      <c r="B259" s="81"/>
    </row>
    <row r="260" spans="1:2" x14ac:dyDescent="0.25">
      <c r="A260" s="87"/>
      <c r="B260" s="81"/>
    </row>
    <row r="261" spans="1:2" x14ac:dyDescent="0.25">
      <c r="A261" s="87"/>
      <c r="B261" s="81"/>
    </row>
    <row r="262" spans="1:2" x14ac:dyDescent="0.25">
      <c r="A262" s="87"/>
      <c r="B262" s="81"/>
    </row>
    <row r="263" spans="1:2" x14ac:dyDescent="0.25">
      <c r="A263" s="87"/>
      <c r="B263" s="81"/>
    </row>
    <row r="264" spans="1:2" x14ac:dyDescent="0.25">
      <c r="A264" s="87"/>
      <c r="B264" s="81"/>
    </row>
    <row r="265" spans="1:2" x14ac:dyDescent="0.25">
      <c r="A265" s="87"/>
      <c r="B265" s="81"/>
    </row>
    <row r="266" spans="1:2" x14ac:dyDescent="0.25">
      <c r="A266" s="87"/>
      <c r="B266" s="81"/>
    </row>
    <row r="267" spans="1:2" x14ac:dyDescent="0.25">
      <c r="A267" s="87"/>
      <c r="B267" s="81"/>
    </row>
    <row r="268" spans="1:2" x14ac:dyDescent="0.25">
      <c r="A268" s="87"/>
      <c r="B268" s="81"/>
    </row>
    <row r="269" spans="1:2" x14ac:dyDescent="0.25">
      <c r="A269" s="87"/>
      <c r="B269" s="81"/>
    </row>
    <row r="270" spans="1:2" x14ac:dyDescent="0.25">
      <c r="A270" s="87"/>
      <c r="B270" s="81"/>
    </row>
    <row r="271" spans="1:2" x14ac:dyDescent="0.25">
      <c r="A271" s="87"/>
      <c r="B271" s="81"/>
    </row>
    <row r="272" spans="1:2" x14ac:dyDescent="0.25">
      <c r="A272" s="87"/>
      <c r="B272" s="81"/>
    </row>
    <row r="273" spans="1:2" x14ac:dyDescent="0.25">
      <c r="A273" s="87"/>
      <c r="B273" s="81"/>
    </row>
    <row r="274" spans="1:2" x14ac:dyDescent="0.25">
      <c r="A274" s="87"/>
      <c r="B274" s="81"/>
    </row>
    <row r="275" spans="1:2" x14ac:dyDescent="0.25">
      <c r="A275" s="87"/>
      <c r="B275" s="81"/>
    </row>
    <row r="276" spans="1:2" x14ac:dyDescent="0.25">
      <c r="A276" s="87"/>
      <c r="B276" s="81"/>
    </row>
    <row r="277" spans="1:2" x14ac:dyDescent="0.25">
      <c r="A277" s="87"/>
      <c r="B277" s="81"/>
    </row>
    <row r="278" spans="1:2" x14ac:dyDescent="0.25">
      <c r="A278" s="87"/>
      <c r="B278" s="81"/>
    </row>
    <row r="279" spans="1:2" x14ac:dyDescent="0.25">
      <c r="A279" s="87"/>
      <c r="B279" s="81"/>
    </row>
    <row r="280" spans="1:2" x14ac:dyDescent="0.25">
      <c r="A280" s="87"/>
      <c r="B280" s="81"/>
    </row>
    <row r="281" spans="1:2" x14ac:dyDescent="0.25">
      <c r="A281" s="87"/>
      <c r="B281" s="81"/>
    </row>
    <row r="282" spans="1:2" x14ac:dyDescent="0.25">
      <c r="A282" s="87"/>
      <c r="B282" s="81"/>
    </row>
    <row r="283" spans="1:2" x14ac:dyDescent="0.25">
      <c r="A283" s="87"/>
      <c r="B283" s="81"/>
    </row>
    <row r="284" spans="1:2" x14ac:dyDescent="0.25">
      <c r="A284" s="87"/>
      <c r="B284" s="81"/>
    </row>
    <row r="285" spans="1:2" x14ac:dyDescent="0.25">
      <c r="A285" s="87"/>
      <c r="B285" s="81"/>
    </row>
    <row r="286" spans="1:2" x14ac:dyDescent="0.25">
      <c r="A286" s="87"/>
      <c r="B286" s="81"/>
    </row>
    <row r="287" spans="1:2" x14ac:dyDescent="0.25">
      <c r="A287" s="87"/>
      <c r="B287" s="81"/>
    </row>
    <row r="288" spans="1:2" x14ac:dyDescent="0.25">
      <c r="A288" s="87"/>
      <c r="B288" s="81"/>
    </row>
    <row r="289" spans="1:2" x14ac:dyDescent="0.25">
      <c r="A289" s="87"/>
      <c r="B289" s="81"/>
    </row>
    <row r="290" spans="1:2" x14ac:dyDescent="0.25">
      <c r="A290" s="87"/>
      <c r="B290" s="81"/>
    </row>
    <row r="291" spans="1:2" x14ac:dyDescent="0.25">
      <c r="A291" s="87"/>
      <c r="B291" s="81"/>
    </row>
    <row r="292" spans="1:2" x14ac:dyDescent="0.25">
      <c r="A292" s="87"/>
      <c r="B292" s="81"/>
    </row>
    <row r="293" spans="1:2" x14ac:dyDescent="0.25">
      <c r="A293" s="87"/>
      <c r="B293" s="81"/>
    </row>
    <row r="294" spans="1:2" x14ac:dyDescent="0.25">
      <c r="A294" s="87"/>
      <c r="B294" s="81"/>
    </row>
    <row r="295" spans="1:2" x14ac:dyDescent="0.25">
      <c r="A295" s="87"/>
      <c r="B295" s="81"/>
    </row>
    <row r="296" spans="1:2" x14ac:dyDescent="0.25">
      <c r="A296" s="87"/>
      <c r="B296" s="81"/>
    </row>
    <row r="297" spans="1:2" x14ac:dyDescent="0.25">
      <c r="A297" s="87"/>
      <c r="B297" s="81"/>
    </row>
    <row r="298" spans="1:2" x14ac:dyDescent="0.25">
      <c r="A298" s="87"/>
      <c r="B298" s="81"/>
    </row>
    <row r="299" spans="1:2" x14ac:dyDescent="0.25">
      <c r="A299" s="87"/>
      <c r="B299" s="81"/>
    </row>
    <row r="300" spans="1:2" x14ac:dyDescent="0.25">
      <c r="A300" s="87"/>
      <c r="B300" s="81"/>
    </row>
    <row r="301" spans="1:2" x14ac:dyDescent="0.25">
      <c r="A301" s="87"/>
      <c r="B301" s="81"/>
    </row>
    <row r="302" spans="1:2" x14ac:dyDescent="0.25">
      <c r="A302" s="87"/>
      <c r="B302" s="81"/>
    </row>
    <row r="303" spans="1:2" x14ac:dyDescent="0.25">
      <c r="A303" s="87"/>
      <c r="B303" s="81"/>
    </row>
    <row r="304" spans="1:2" x14ac:dyDescent="0.25">
      <c r="A304" s="87"/>
      <c r="B304" s="81"/>
    </row>
    <row r="305" spans="1:2" x14ac:dyDescent="0.25">
      <c r="A305" s="87"/>
      <c r="B305" s="81"/>
    </row>
    <row r="306" spans="1:2" x14ac:dyDescent="0.25">
      <c r="A306" s="87"/>
      <c r="B306" s="81"/>
    </row>
    <row r="307" spans="1:2" x14ac:dyDescent="0.25">
      <c r="A307" s="87"/>
      <c r="B307" s="81"/>
    </row>
    <row r="308" spans="1:2" x14ac:dyDescent="0.25">
      <c r="A308" s="87"/>
      <c r="B308" s="81"/>
    </row>
    <row r="309" spans="1:2" x14ac:dyDescent="0.25">
      <c r="A309" s="87"/>
      <c r="B309" s="81"/>
    </row>
    <row r="310" spans="1:2" x14ac:dyDescent="0.25">
      <c r="A310" s="87"/>
      <c r="B310" s="81"/>
    </row>
    <row r="311" spans="1:2" x14ac:dyDescent="0.25">
      <c r="A311" s="87"/>
      <c r="B311" s="81"/>
    </row>
    <row r="312" spans="1:2" x14ac:dyDescent="0.25">
      <c r="A312" s="87"/>
      <c r="B312" s="81"/>
    </row>
    <row r="313" spans="1:2" x14ac:dyDescent="0.25">
      <c r="A313" s="87"/>
      <c r="B313" s="81"/>
    </row>
  </sheetData>
  <sortState xmlns:xlrd2="http://schemas.microsoft.com/office/spreadsheetml/2017/richdata2" ref="A2:B313">
    <sortCondition ref="A2:A313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6"/>
  <sheetViews>
    <sheetView showGridLines="0" workbookViewId="0">
      <pane ySplit="1" topLeftCell="A3" activePane="bottomLeft" state="frozen"/>
      <selection pane="bottomLeft" activeCell="C26" sqref="C26"/>
    </sheetView>
  </sheetViews>
  <sheetFormatPr defaultRowHeight="15" customHeight="1" x14ac:dyDescent="0.25"/>
  <cols>
    <col min="1" max="1" width="34" customWidth="1"/>
    <col min="2" max="2" width="14" customWidth="1"/>
    <col min="3" max="3" width="16" customWidth="1"/>
    <col min="4" max="4" width="28" customWidth="1"/>
    <col min="5" max="5" width="16" customWidth="1"/>
    <col min="6" max="6" width="31" customWidth="1"/>
    <col min="7" max="7" width="17" customWidth="1"/>
    <col min="8" max="8" width="30" customWidth="1"/>
    <col min="9" max="9" width="18" customWidth="1"/>
    <col min="10" max="10" width="20" customWidth="1"/>
    <col min="11" max="11" width="18" customWidth="1"/>
    <col min="12" max="13" width="26" customWidth="1"/>
    <col min="14" max="14" width="20" customWidth="1"/>
    <col min="15" max="15" width="28" customWidth="1"/>
    <col min="16" max="16" width="42" customWidth="1"/>
    <col min="17" max="17" width="13.7109375" customWidth="1"/>
  </cols>
  <sheetData>
    <row r="1" spans="1:18" ht="34.15" customHeight="1" x14ac:dyDescent="0.25">
      <c r="A1" s="4" t="s">
        <v>440</v>
      </c>
      <c r="B1" s="4" t="s">
        <v>35</v>
      </c>
      <c r="C1" s="4" t="s">
        <v>45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42</v>
      </c>
      <c r="I1" s="4" t="s">
        <v>43</v>
      </c>
      <c r="J1" s="4" t="s">
        <v>44</v>
      </c>
      <c r="K1" s="4" t="s">
        <v>46</v>
      </c>
      <c r="L1" s="4" t="s">
        <v>441</v>
      </c>
      <c r="M1" s="4" t="s">
        <v>442</v>
      </c>
      <c r="N1" s="4" t="s">
        <v>47</v>
      </c>
      <c r="O1" s="4" t="s">
        <v>443</v>
      </c>
      <c r="P1" s="4" t="s">
        <v>444</v>
      </c>
      <c r="Q1" s="4" t="s">
        <v>445</v>
      </c>
      <c r="R1" s="4" t="s">
        <v>446</v>
      </c>
    </row>
    <row r="2" spans="1:18" ht="30" x14ac:dyDescent="0.25">
      <c r="A2" s="5" t="s">
        <v>447</v>
      </c>
      <c r="B2" s="5" t="s">
        <v>51</v>
      </c>
      <c r="C2" s="6"/>
      <c r="D2" s="7" t="s">
        <v>448</v>
      </c>
      <c r="E2" s="7" t="s">
        <v>449</v>
      </c>
      <c r="F2" s="7" t="s">
        <v>450</v>
      </c>
      <c r="G2" s="8">
        <v>45628</v>
      </c>
      <c r="H2" s="7" t="s">
        <v>451</v>
      </c>
      <c r="I2" s="6"/>
      <c r="J2" s="9"/>
      <c r="K2" s="9"/>
      <c r="L2" s="6"/>
      <c r="M2" s="6"/>
      <c r="N2" s="6"/>
      <c r="O2" s="6"/>
      <c r="P2" s="6"/>
    </row>
    <row r="3" spans="1:18" ht="30" x14ac:dyDescent="0.25">
      <c r="A3" s="5" t="s">
        <v>452</v>
      </c>
      <c r="B3" s="5" t="s">
        <v>59</v>
      </c>
      <c r="C3" s="6"/>
      <c r="D3" s="7" t="s">
        <v>453</v>
      </c>
      <c r="E3" s="7" t="s">
        <v>449</v>
      </c>
      <c r="F3" s="7" t="s">
        <v>450</v>
      </c>
      <c r="G3" s="8">
        <v>45628</v>
      </c>
      <c r="H3" s="7" t="s">
        <v>451</v>
      </c>
      <c r="I3" s="6"/>
      <c r="J3" s="9"/>
      <c r="K3" s="9"/>
      <c r="L3" s="6"/>
      <c r="M3" s="6"/>
      <c r="N3" s="6"/>
      <c r="O3" s="6"/>
      <c r="P3" s="6"/>
    </row>
    <row r="4" spans="1:18" ht="30" x14ac:dyDescent="0.25">
      <c r="A4" s="5" t="s">
        <v>454</v>
      </c>
      <c r="B4" s="5" t="s">
        <v>84</v>
      </c>
      <c r="C4" s="6"/>
      <c r="D4" s="7" t="s">
        <v>455</v>
      </c>
      <c r="E4" s="7" t="s">
        <v>449</v>
      </c>
      <c r="F4" s="7" t="s">
        <v>450</v>
      </c>
      <c r="G4" s="8">
        <v>45628</v>
      </c>
      <c r="H4" s="7" t="s">
        <v>451</v>
      </c>
      <c r="I4" s="6"/>
      <c r="J4" s="9"/>
      <c r="K4" s="9"/>
      <c r="L4" s="6"/>
      <c r="M4" s="6"/>
      <c r="N4" s="6"/>
      <c r="O4" s="6"/>
      <c r="P4" s="6"/>
    </row>
    <row r="5" spans="1:18" ht="30" x14ac:dyDescent="0.25">
      <c r="A5" s="5" t="s">
        <v>456</v>
      </c>
      <c r="B5" s="5" t="s">
        <v>77</v>
      </c>
      <c r="C5" s="6"/>
      <c r="D5" s="7" t="s">
        <v>457</v>
      </c>
      <c r="E5" s="7" t="s">
        <v>458</v>
      </c>
      <c r="F5" s="7" t="s">
        <v>459</v>
      </c>
      <c r="G5" s="8">
        <v>45635</v>
      </c>
      <c r="H5" s="7" t="s">
        <v>460</v>
      </c>
      <c r="I5" s="6" t="s">
        <v>461</v>
      </c>
      <c r="J5" s="9"/>
      <c r="K5" s="9"/>
      <c r="L5" s="6"/>
      <c r="M5" s="6"/>
      <c r="N5" s="6"/>
      <c r="O5" s="6"/>
      <c r="P5" s="6"/>
    </row>
    <row r="6" spans="1:18" ht="30" x14ac:dyDescent="0.25">
      <c r="A6" s="5" t="s">
        <v>462</v>
      </c>
      <c r="B6" s="5" t="s">
        <v>80</v>
      </c>
      <c r="C6" s="6"/>
      <c r="D6" s="7" t="s">
        <v>463</v>
      </c>
      <c r="E6" s="7" t="s">
        <v>458</v>
      </c>
      <c r="F6" s="7" t="s">
        <v>459</v>
      </c>
      <c r="G6" s="8">
        <v>45635</v>
      </c>
      <c r="H6" s="7" t="s">
        <v>460</v>
      </c>
      <c r="I6" s="6" t="s">
        <v>461</v>
      </c>
      <c r="J6" s="9"/>
      <c r="K6" s="9"/>
      <c r="L6" s="6"/>
      <c r="M6" s="6"/>
      <c r="N6" s="6"/>
      <c r="O6" s="6"/>
      <c r="P6" s="6"/>
    </row>
    <row r="7" spans="1:18" ht="30" x14ac:dyDescent="0.25">
      <c r="A7" s="5" t="s">
        <v>464</v>
      </c>
      <c r="B7" s="5" t="s">
        <v>62</v>
      </c>
      <c r="C7" s="6"/>
      <c r="D7" s="7" t="s">
        <v>439</v>
      </c>
      <c r="E7" s="7" t="s">
        <v>465</v>
      </c>
      <c r="F7" s="7" t="s">
        <v>466</v>
      </c>
      <c r="G7" s="8">
        <v>45670</v>
      </c>
      <c r="H7" s="7" t="s">
        <v>451</v>
      </c>
      <c r="I7" s="6"/>
      <c r="J7" s="9"/>
      <c r="K7" s="9"/>
      <c r="L7" s="6"/>
      <c r="M7" s="6"/>
      <c r="N7" s="6"/>
      <c r="O7" s="6"/>
      <c r="P7" s="6"/>
    </row>
    <row r="8" spans="1:18" ht="30" x14ac:dyDescent="0.25">
      <c r="A8" s="5" t="s">
        <v>467</v>
      </c>
      <c r="B8" s="5" t="s">
        <v>67</v>
      </c>
      <c r="C8" s="6"/>
      <c r="D8" s="7" t="s">
        <v>115</v>
      </c>
      <c r="E8" s="7" t="s">
        <v>465</v>
      </c>
      <c r="F8" s="7" t="s">
        <v>466</v>
      </c>
      <c r="G8" s="8">
        <v>45670</v>
      </c>
      <c r="H8" s="7" t="s">
        <v>451</v>
      </c>
      <c r="I8" s="6"/>
      <c r="J8" s="9"/>
      <c r="K8" s="9"/>
      <c r="L8" s="6"/>
      <c r="M8" s="6"/>
      <c r="N8" s="6"/>
      <c r="O8" s="6"/>
      <c r="P8" s="6"/>
    </row>
    <row r="9" spans="1:18" ht="30" x14ac:dyDescent="0.25">
      <c r="A9" s="5" t="s">
        <v>468</v>
      </c>
      <c r="B9" s="5" t="s">
        <v>70</v>
      </c>
      <c r="C9" s="6"/>
      <c r="D9" s="7" t="s">
        <v>469</v>
      </c>
      <c r="E9" s="7" t="s">
        <v>465</v>
      </c>
      <c r="F9" s="7" t="s">
        <v>466</v>
      </c>
      <c r="G9" s="8">
        <v>45670</v>
      </c>
      <c r="H9" s="7" t="s">
        <v>451</v>
      </c>
      <c r="I9" s="6"/>
      <c r="J9" s="9"/>
      <c r="K9" s="9"/>
      <c r="L9" s="6"/>
      <c r="M9" s="6"/>
      <c r="N9" s="6"/>
      <c r="O9" s="6"/>
      <c r="P9" s="6"/>
    </row>
    <row r="10" spans="1:18" ht="30" x14ac:dyDescent="0.25">
      <c r="A10" s="5" t="s">
        <v>470</v>
      </c>
      <c r="B10" s="5" t="s">
        <v>74</v>
      </c>
      <c r="C10" s="6"/>
      <c r="D10" s="7" t="s">
        <v>119</v>
      </c>
      <c r="E10" s="7" t="s">
        <v>465</v>
      </c>
      <c r="F10" s="7" t="s">
        <v>466</v>
      </c>
      <c r="G10" s="8">
        <v>45670</v>
      </c>
      <c r="H10" s="7" t="s">
        <v>460</v>
      </c>
      <c r="I10" s="6" t="s">
        <v>461</v>
      </c>
      <c r="J10" s="9"/>
      <c r="K10" s="9"/>
      <c r="L10" s="6"/>
      <c r="M10" s="6"/>
      <c r="N10" s="6"/>
      <c r="O10" s="6"/>
      <c r="P10" s="6"/>
    </row>
    <row r="11" spans="1:18" ht="30" x14ac:dyDescent="0.25">
      <c r="A11" s="5" t="s">
        <v>471</v>
      </c>
      <c r="B11" s="5" t="s">
        <v>87</v>
      </c>
      <c r="C11" s="6"/>
      <c r="D11" s="7" t="s">
        <v>106</v>
      </c>
      <c r="E11" s="7" t="s">
        <v>465</v>
      </c>
      <c r="F11" s="7" t="s">
        <v>466</v>
      </c>
      <c r="G11" s="8">
        <v>45670</v>
      </c>
      <c r="H11" s="7" t="s">
        <v>451</v>
      </c>
      <c r="I11" s="6"/>
      <c r="J11" s="9"/>
      <c r="K11" s="9"/>
      <c r="L11" s="6"/>
      <c r="M11" s="6"/>
      <c r="N11" s="6"/>
      <c r="O11" s="6"/>
      <c r="P11" s="6"/>
    </row>
    <row r="12" spans="1:18" ht="30" x14ac:dyDescent="0.25">
      <c r="A12" s="5" t="s">
        <v>472</v>
      </c>
      <c r="B12" s="5" t="s">
        <v>90</v>
      </c>
      <c r="C12" s="6"/>
      <c r="D12" s="7" t="s">
        <v>109</v>
      </c>
      <c r="E12" s="7" t="s">
        <v>465</v>
      </c>
      <c r="F12" s="7" t="s">
        <v>466</v>
      </c>
      <c r="G12" s="8">
        <v>45670</v>
      </c>
      <c r="H12" s="7" t="s">
        <v>451</v>
      </c>
      <c r="I12" s="6"/>
      <c r="J12" s="9"/>
      <c r="K12" s="9"/>
      <c r="L12" s="6"/>
      <c r="M12" s="6"/>
      <c r="N12" s="6"/>
      <c r="O12" s="6"/>
      <c r="P12" s="6"/>
    </row>
    <row r="13" spans="1:18" x14ac:dyDescent="0.25">
      <c r="B13" s="5" t="s">
        <v>51</v>
      </c>
      <c r="C13" s="19">
        <v>101595096</v>
      </c>
      <c r="D13" s="10" t="s">
        <v>81</v>
      </c>
      <c r="R13" t="s">
        <v>473</v>
      </c>
    </row>
    <row r="14" spans="1:18" x14ac:dyDescent="0.25">
      <c r="B14" s="5" t="s">
        <v>59</v>
      </c>
      <c r="C14" s="19">
        <v>101589287</v>
      </c>
      <c r="D14" s="10" t="s">
        <v>437</v>
      </c>
      <c r="R14" t="s">
        <v>473</v>
      </c>
    </row>
    <row r="15" spans="1:18" x14ac:dyDescent="0.25">
      <c r="B15" s="5" t="s">
        <v>62</v>
      </c>
      <c r="C15" s="19">
        <v>101593052</v>
      </c>
      <c r="D15" s="10" t="s">
        <v>75</v>
      </c>
      <c r="R15" t="s">
        <v>473</v>
      </c>
    </row>
    <row r="16" spans="1:18" x14ac:dyDescent="0.25">
      <c r="B16" s="5" t="s">
        <v>67</v>
      </c>
      <c r="C16" s="19">
        <v>101589286</v>
      </c>
      <c r="D16" s="10" t="s">
        <v>52</v>
      </c>
      <c r="R16" t="s">
        <v>473</v>
      </c>
    </row>
    <row r="17" spans="2:18" x14ac:dyDescent="0.25">
      <c r="B17" s="5" t="s">
        <v>70</v>
      </c>
      <c r="C17" s="19">
        <v>101595075</v>
      </c>
      <c r="D17" s="10" t="s">
        <v>78</v>
      </c>
      <c r="R17" t="s">
        <v>473</v>
      </c>
    </row>
    <row r="18" spans="2:18" x14ac:dyDescent="0.25">
      <c r="B18" s="5" t="s">
        <v>74</v>
      </c>
      <c r="C18" s="19">
        <v>101596282</v>
      </c>
      <c r="D18" s="10" t="s">
        <v>85</v>
      </c>
      <c r="R18" t="s">
        <v>473</v>
      </c>
    </row>
    <row r="19" spans="2:18" x14ac:dyDescent="0.25">
      <c r="B19" s="5" t="s">
        <v>77</v>
      </c>
      <c r="C19" s="19">
        <v>101592508</v>
      </c>
      <c r="D19" s="10" t="s">
        <v>71</v>
      </c>
      <c r="R19" t="s">
        <v>473</v>
      </c>
    </row>
    <row r="20" spans="2:18" x14ac:dyDescent="0.25">
      <c r="B20" s="5" t="s">
        <v>80</v>
      </c>
      <c r="C20" s="19">
        <v>101589289</v>
      </c>
      <c r="D20" s="10" t="s">
        <v>63</v>
      </c>
      <c r="R20" t="s">
        <v>473</v>
      </c>
    </row>
    <row r="21" spans="2:18" x14ac:dyDescent="0.25">
      <c r="B21" s="5" t="s">
        <v>84</v>
      </c>
      <c r="C21" s="19">
        <v>101589293</v>
      </c>
      <c r="D21" s="10" t="s">
        <v>68</v>
      </c>
      <c r="R21" t="s">
        <v>473</v>
      </c>
    </row>
    <row r="22" spans="2:18" x14ac:dyDescent="0.25">
      <c r="B22" s="5" t="s">
        <v>87</v>
      </c>
      <c r="C22" s="19">
        <v>101602637</v>
      </c>
      <c r="D22" s="10" t="s">
        <v>438</v>
      </c>
      <c r="R22" t="s">
        <v>473</v>
      </c>
    </row>
    <row r="23" spans="2:18" x14ac:dyDescent="0.25">
      <c r="B23" s="5" t="s">
        <v>90</v>
      </c>
      <c r="C23" s="19">
        <v>101603363</v>
      </c>
      <c r="D23" s="10" t="s">
        <v>97</v>
      </c>
      <c r="R23" t="s">
        <v>473</v>
      </c>
    </row>
    <row r="24" spans="2:18" x14ac:dyDescent="0.25">
      <c r="B24" s="5" t="s">
        <v>96</v>
      </c>
      <c r="C24" s="19">
        <v>101609837</v>
      </c>
      <c r="D24" s="10" t="s">
        <v>106</v>
      </c>
      <c r="R24" t="s">
        <v>473</v>
      </c>
    </row>
    <row r="25" spans="2:18" x14ac:dyDescent="0.25">
      <c r="B25" s="5" t="s">
        <v>101</v>
      </c>
      <c r="C25" s="19">
        <v>101602653</v>
      </c>
      <c r="D25" s="10" t="s">
        <v>439</v>
      </c>
      <c r="R25" t="s">
        <v>473</v>
      </c>
    </row>
    <row r="26" spans="2:18" x14ac:dyDescent="0.25">
      <c r="B26" s="5" t="s">
        <v>105</v>
      </c>
      <c r="C26" s="19">
        <v>101611395</v>
      </c>
      <c r="D26" s="10" t="s">
        <v>112</v>
      </c>
      <c r="R26" t="s">
        <v>473</v>
      </c>
    </row>
    <row r="27" spans="2:18" x14ac:dyDescent="0.25">
      <c r="B27" s="5" t="s">
        <v>108</v>
      </c>
      <c r="C27" s="19">
        <v>101611394</v>
      </c>
      <c r="D27" s="10" t="s">
        <v>109</v>
      </c>
      <c r="R27" t="s">
        <v>473</v>
      </c>
    </row>
    <row r="28" spans="2:18" x14ac:dyDescent="0.25">
      <c r="B28" s="5" t="s">
        <v>111</v>
      </c>
      <c r="C28" s="19">
        <v>101616095</v>
      </c>
      <c r="D28" s="10" t="s">
        <v>115</v>
      </c>
      <c r="R28" t="s">
        <v>473</v>
      </c>
    </row>
    <row r="29" spans="2:18" x14ac:dyDescent="0.25">
      <c r="B29" s="5" t="s">
        <v>114</v>
      </c>
      <c r="C29" s="19">
        <v>101616103</v>
      </c>
      <c r="D29" s="10" t="s">
        <v>119</v>
      </c>
      <c r="R29" t="s">
        <v>473</v>
      </c>
    </row>
    <row r="30" spans="2:18" x14ac:dyDescent="0.25">
      <c r="B30" s="5" t="s">
        <v>118</v>
      </c>
      <c r="C30" s="19">
        <v>101625610</v>
      </c>
      <c r="D30" s="10" t="s">
        <v>141</v>
      </c>
      <c r="R30" t="s">
        <v>473</v>
      </c>
    </row>
    <row r="31" spans="2:18" x14ac:dyDescent="0.25">
      <c r="B31" s="5" t="s">
        <v>122</v>
      </c>
      <c r="C31" s="19">
        <v>101625595</v>
      </c>
      <c r="D31" s="10" t="s">
        <v>130</v>
      </c>
      <c r="R31" t="s">
        <v>473</v>
      </c>
    </row>
    <row r="32" spans="2:18" x14ac:dyDescent="0.25">
      <c r="B32" s="5" t="s">
        <v>129</v>
      </c>
      <c r="C32" s="19">
        <v>101625599</v>
      </c>
      <c r="D32" s="10" t="s">
        <v>135</v>
      </c>
      <c r="R32" t="s">
        <v>473</v>
      </c>
    </row>
    <row r="33" spans="2:18" x14ac:dyDescent="0.25">
      <c r="B33" s="5" t="s">
        <v>134</v>
      </c>
      <c r="C33" s="19">
        <v>101627905</v>
      </c>
      <c r="D33" s="10" t="s">
        <v>147</v>
      </c>
      <c r="R33" t="s">
        <v>473</v>
      </c>
    </row>
    <row r="34" spans="2:18" x14ac:dyDescent="0.25">
      <c r="B34" s="5" t="s">
        <v>137</v>
      </c>
      <c r="C34" s="19">
        <v>101633804</v>
      </c>
      <c r="D34" s="10" t="s">
        <v>150</v>
      </c>
      <c r="R34" t="s">
        <v>473</v>
      </c>
    </row>
    <row r="35" spans="2:18" x14ac:dyDescent="0.25">
      <c r="B35" s="5" t="s">
        <v>140</v>
      </c>
      <c r="C35" s="19">
        <v>101635090</v>
      </c>
      <c r="D35" s="10" t="s">
        <v>162</v>
      </c>
      <c r="R35" t="s">
        <v>473</v>
      </c>
    </row>
    <row r="36" spans="2:18" x14ac:dyDescent="0.25">
      <c r="B36" s="5" t="s">
        <v>143</v>
      </c>
      <c r="C36" s="19">
        <v>101634402</v>
      </c>
      <c r="D36" s="10" t="s">
        <v>155</v>
      </c>
      <c r="R36" t="s">
        <v>473</v>
      </c>
    </row>
    <row r="37" spans="2:18" x14ac:dyDescent="0.25">
      <c r="B37" s="5" t="s">
        <v>146</v>
      </c>
      <c r="C37" s="19">
        <v>101635284</v>
      </c>
      <c r="D37" s="10" t="s">
        <v>173</v>
      </c>
      <c r="R37" t="s">
        <v>473</v>
      </c>
    </row>
    <row r="38" spans="2:18" x14ac:dyDescent="0.25">
      <c r="B38" s="5" t="s">
        <v>149</v>
      </c>
      <c r="C38" s="19">
        <v>101638501</v>
      </c>
      <c r="D38" s="10" t="s">
        <v>187</v>
      </c>
      <c r="R38" t="s">
        <v>473</v>
      </c>
    </row>
    <row r="39" spans="2:18" x14ac:dyDescent="0.25">
      <c r="B39" s="5" t="s">
        <v>154</v>
      </c>
      <c r="C39" s="19">
        <v>101640848</v>
      </c>
      <c r="D39" s="10" t="s">
        <v>190</v>
      </c>
      <c r="R39" t="s">
        <v>473</v>
      </c>
    </row>
    <row r="40" spans="2:18" x14ac:dyDescent="0.25">
      <c r="B40" s="5" t="s">
        <v>157</v>
      </c>
      <c r="C40" s="19">
        <v>101635091</v>
      </c>
      <c r="D40" s="10" t="s">
        <v>165</v>
      </c>
      <c r="R40" t="s">
        <v>473</v>
      </c>
    </row>
    <row r="41" spans="2:18" x14ac:dyDescent="0.25">
      <c r="B41" s="5" t="s">
        <v>161</v>
      </c>
      <c r="C41" s="19">
        <v>101637945</v>
      </c>
      <c r="D41" s="10" t="s">
        <v>176</v>
      </c>
      <c r="R41" t="s">
        <v>473</v>
      </c>
    </row>
    <row r="42" spans="2:18" x14ac:dyDescent="0.25">
      <c r="B42" s="5" t="s">
        <v>164</v>
      </c>
      <c r="C42" s="19">
        <v>101638426</v>
      </c>
      <c r="D42" s="10" t="s">
        <v>182</v>
      </c>
      <c r="R42" t="s">
        <v>473</v>
      </c>
    </row>
    <row r="43" spans="2:18" x14ac:dyDescent="0.25">
      <c r="B43" s="5" t="s">
        <v>169</v>
      </c>
      <c r="C43" s="19">
        <v>101652954</v>
      </c>
      <c r="D43" s="10" t="s">
        <v>205</v>
      </c>
      <c r="R43" t="s">
        <v>474</v>
      </c>
    </row>
    <row r="44" spans="2:18" x14ac:dyDescent="0.25">
      <c r="B44" s="5" t="s">
        <v>172</v>
      </c>
      <c r="C44" s="19">
        <v>101648043</v>
      </c>
      <c r="D44" s="10" t="s">
        <v>193</v>
      </c>
      <c r="R44" t="s">
        <v>474</v>
      </c>
    </row>
    <row r="45" spans="2:18" x14ac:dyDescent="0.25">
      <c r="B45" s="5" t="s">
        <v>175</v>
      </c>
      <c r="C45" s="19">
        <v>101649621</v>
      </c>
      <c r="D45" s="10" t="s">
        <v>196</v>
      </c>
      <c r="R45" t="s">
        <v>474</v>
      </c>
    </row>
    <row r="46" spans="2:18" x14ac:dyDescent="0.25">
      <c r="B46" s="5" t="s">
        <v>181</v>
      </c>
      <c r="C46" s="19">
        <v>101649640</v>
      </c>
      <c r="D46" s="10" t="s">
        <v>202</v>
      </c>
      <c r="R46" t="s">
        <v>474</v>
      </c>
    </row>
    <row r="47" spans="2:18" x14ac:dyDescent="0.25">
      <c r="B47" s="5" t="s">
        <v>186</v>
      </c>
      <c r="C47" s="19">
        <v>101657797</v>
      </c>
      <c r="D47" s="10" t="s">
        <v>223</v>
      </c>
      <c r="R47" t="s">
        <v>474</v>
      </c>
    </row>
    <row r="48" spans="2:18" x14ac:dyDescent="0.25">
      <c r="B48" s="5" t="s">
        <v>189</v>
      </c>
      <c r="C48" s="19">
        <v>101655942</v>
      </c>
      <c r="D48" s="10" t="s">
        <v>216</v>
      </c>
      <c r="R48" t="s">
        <v>474</v>
      </c>
    </row>
    <row r="49" spans="2:18" x14ac:dyDescent="0.25">
      <c r="B49" s="5" t="s">
        <v>192</v>
      </c>
      <c r="C49" s="19">
        <v>101657418</v>
      </c>
      <c r="D49" s="10" t="s">
        <v>220</v>
      </c>
      <c r="R49" t="s">
        <v>474</v>
      </c>
    </row>
    <row r="50" spans="2:18" x14ac:dyDescent="0.25">
      <c r="B50" s="5" t="s">
        <v>195</v>
      </c>
      <c r="C50" s="19">
        <v>101655941</v>
      </c>
      <c r="D50" s="10" t="s">
        <v>213</v>
      </c>
      <c r="R50" t="s">
        <v>474</v>
      </c>
    </row>
    <row r="51" spans="2:18" x14ac:dyDescent="0.25">
      <c r="B51" s="5" t="s">
        <v>198</v>
      </c>
      <c r="C51" s="19">
        <v>101663617</v>
      </c>
      <c r="D51" s="10" t="s">
        <v>226</v>
      </c>
      <c r="R51" t="s">
        <v>474</v>
      </c>
    </row>
    <row r="52" spans="2:18" x14ac:dyDescent="0.25">
      <c r="B52" s="5" t="s">
        <v>201</v>
      </c>
      <c r="C52" s="19">
        <v>101669733</v>
      </c>
      <c r="D52" s="10" t="s">
        <v>246</v>
      </c>
      <c r="R52" t="s">
        <v>474</v>
      </c>
    </row>
    <row r="53" spans="2:18" x14ac:dyDescent="0.25">
      <c r="B53" s="5" t="s">
        <v>204</v>
      </c>
      <c r="C53" s="19">
        <v>101669389</v>
      </c>
      <c r="D53" s="10" t="s">
        <v>238</v>
      </c>
      <c r="R53" t="s">
        <v>474</v>
      </c>
    </row>
    <row r="54" spans="2:18" x14ac:dyDescent="0.25">
      <c r="B54" s="5" t="s">
        <v>207</v>
      </c>
      <c r="C54" s="19">
        <v>101664190</v>
      </c>
      <c r="D54" s="10" t="s">
        <v>230</v>
      </c>
      <c r="R54" t="s">
        <v>474</v>
      </c>
    </row>
    <row r="55" spans="2:18" x14ac:dyDescent="0.25">
      <c r="B55" s="5" t="s">
        <v>212</v>
      </c>
      <c r="C55" s="19">
        <v>101669383</v>
      </c>
      <c r="D55" s="10" t="s">
        <v>235</v>
      </c>
      <c r="R55" t="s">
        <v>474</v>
      </c>
    </row>
    <row r="56" spans="2:18" x14ac:dyDescent="0.25">
      <c r="B56" s="5" t="s">
        <v>215</v>
      </c>
      <c r="C56" s="19">
        <v>101676507</v>
      </c>
      <c r="D56" s="10" t="s">
        <v>249</v>
      </c>
      <c r="R56" t="s">
        <v>474</v>
      </c>
    </row>
    <row r="57" spans="2:18" x14ac:dyDescent="0.25">
      <c r="B57" s="5" t="s">
        <v>219</v>
      </c>
      <c r="C57" s="19">
        <v>101669712</v>
      </c>
      <c r="D57" s="10" t="s">
        <v>241</v>
      </c>
      <c r="R57" t="s">
        <v>474</v>
      </c>
    </row>
    <row r="58" spans="2:18" x14ac:dyDescent="0.25">
      <c r="B58" s="5" t="s">
        <v>222</v>
      </c>
      <c r="C58" s="19">
        <v>101676514</v>
      </c>
      <c r="D58" s="10" t="s">
        <v>253</v>
      </c>
      <c r="R58" t="s">
        <v>474</v>
      </c>
    </row>
    <row r="59" spans="2:18" x14ac:dyDescent="0.25">
      <c r="B59" s="5" t="s">
        <v>225</v>
      </c>
      <c r="C59" s="19">
        <v>101683653</v>
      </c>
      <c r="D59" s="11" t="s">
        <v>261</v>
      </c>
      <c r="R59" t="s">
        <v>474</v>
      </c>
    </row>
    <row r="60" spans="2:18" x14ac:dyDescent="0.25">
      <c r="B60" s="5" t="s">
        <v>229</v>
      </c>
      <c r="C60" s="19">
        <v>101688371</v>
      </c>
      <c r="D60" s="10" t="s">
        <v>264</v>
      </c>
      <c r="R60" t="s">
        <v>474</v>
      </c>
    </row>
    <row r="61" spans="2:18" x14ac:dyDescent="0.25">
      <c r="B61" s="5" t="s">
        <v>234</v>
      </c>
      <c r="C61" s="19">
        <v>101676517</v>
      </c>
      <c r="D61" s="12" t="s">
        <v>258</v>
      </c>
      <c r="R61" t="s">
        <v>474</v>
      </c>
    </row>
    <row r="62" spans="2:18" x14ac:dyDescent="0.25">
      <c r="B62" s="5" t="s">
        <v>237</v>
      </c>
      <c r="C62" s="19">
        <v>101704214</v>
      </c>
      <c r="D62" s="10" t="s">
        <v>272</v>
      </c>
      <c r="R62" t="s">
        <v>474</v>
      </c>
    </row>
    <row r="63" spans="2:18" x14ac:dyDescent="0.25">
      <c r="B63" s="5" t="s">
        <v>240</v>
      </c>
      <c r="C63" s="20">
        <v>101704297</v>
      </c>
      <c r="D63" s="10" t="s">
        <v>275</v>
      </c>
      <c r="R63" t="s">
        <v>474</v>
      </c>
    </row>
    <row r="64" spans="2:18" x14ac:dyDescent="0.25">
      <c r="B64" s="5" t="s">
        <v>245</v>
      </c>
      <c r="C64" s="19">
        <v>101708475</v>
      </c>
      <c r="D64" s="10" t="s">
        <v>283</v>
      </c>
      <c r="R64" t="s">
        <v>474</v>
      </c>
    </row>
    <row r="65" spans="2:18" x14ac:dyDescent="0.25">
      <c r="B65" s="5" t="s">
        <v>248</v>
      </c>
      <c r="C65" s="20">
        <v>101693426</v>
      </c>
      <c r="D65" s="10" t="s">
        <v>267</v>
      </c>
      <c r="R65" t="s">
        <v>474</v>
      </c>
    </row>
    <row r="66" spans="2:18" x14ac:dyDescent="0.25">
      <c r="B66" s="5" t="s">
        <v>252</v>
      </c>
      <c r="C66" s="20">
        <v>101716293</v>
      </c>
      <c r="D66" s="13" t="s">
        <v>297</v>
      </c>
      <c r="R66" t="s">
        <v>474</v>
      </c>
    </row>
    <row r="67" spans="2:18" x14ac:dyDescent="0.25">
      <c r="B67" s="5" t="s">
        <v>257</v>
      </c>
      <c r="C67" s="20">
        <v>101716294</v>
      </c>
      <c r="D67" s="10" t="s">
        <v>300</v>
      </c>
      <c r="R67" t="s">
        <v>474</v>
      </c>
    </row>
    <row r="68" spans="2:18" x14ac:dyDescent="0.25">
      <c r="B68" s="5" t="s">
        <v>260</v>
      </c>
      <c r="C68" s="20">
        <v>101720296</v>
      </c>
      <c r="D68" s="10" t="s">
        <v>303</v>
      </c>
      <c r="R68" t="s">
        <v>474</v>
      </c>
    </row>
    <row r="69" spans="2:18" x14ac:dyDescent="0.25">
      <c r="B69" s="5" t="s">
        <v>263</v>
      </c>
      <c r="C69" s="20">
        <v>101713721</v>
      </c>
      <c r="D69" s="14" t="s">
        <v>286</v>
      </c>
      <c r="R69" t="s">
        <v>474</v>
      </c>
    </row>
    <row r="70" spans="2:18" x14ac:dyDescent="0.25">
      <c r="B70" s="5" t="s">
        <v>266</v>
      </c>
      <c r="C70" s="20">
        <v>101713722</v>
      </c>
      <c r="D70" s="14" t="s">
        <v>291</v>
      </c>
      <c r="R70" t="s">
        <v>474</v>
      </c>
    </row>
    <row r="71" spans="2:18" x14ac:dyDescent="0.25">
      <c r="B71" s="5" t="s">
        <v>271</v>
      </c>
      <c r="C71" s="20">
        <v>101722216</v>
      </c>
      <c r="D71" s="14" t="s">
        <v>306</v>
      </c>
      <c r="R71" t="s">
        <v>474</v>
      </c>
    </row>
    <row r="72" spans="2:18" x14ac:dyDescent="0.25">
      <c r="B72" s="5" t="s">
        <v>274</v>
      </c>
      <c r="C72" s="20">
        <v>101707086</v>
      </c>
      <c r="D72" s="11" t="s">
        <v>278</v>
      </c>
      <c r="R72" t="s">
        <v>474</v>
      </c>
    </row>
    <row r="73" spans="2:18" x14ac:dyDescent="0.25">
      <c r="B73" s="5" t="s">
        <v>277</v>
      </c>
      <c r="C73" s="19">
        <v>101715304</v>
      </c>
      <c r="D73" s="14" t="s">
        <v>294</v>
      </c>
      <c r="R73" t="s">
        <v>474</v>
      </c>
    </row>
    <row r="74" spans="2:18" x14ac:dyDescent="0.25">
      <c r="B74" s="5" t="s">
        <v>282</v>
      </c>
      <c r="C74" s="19">
        <v>101724736</v>
      </c>
      <c r="D74" s="10" t="s">
        <v>311</v>
      </c>
      <c r="R74" t="s">
        <v>474</v>
      </c>
    </row>
    <row r="75" spans="2:18" x14ac:dyDescent="0.25">
      <c r="B75" s="5" t="s">
        <v>285</v>
      </c>
      <c r="C75" s="19">
        <v>101705472</v>
      </c>
      <c r="D75" s="10" t="s">
        <v>475</v>
      </c>
      <c r="R75" t="s">
        <v>474</v>
      </c>
    </row>
    <row r="76" spans="2:18" x14ac:dyDescent="0.25">
      <c r="B76" s="5" t="s">
        <v>290</v>
      </c>
      <c r="C76" s="20">
        <v>101671885</v>
      </c>
      <c r="D76" s="11" t="s">
        <v>476</v>
      </c>
      <c r="R76" t="s">
        <v>474</v>
      </c>
    </row>
  </sheetData>
  <autoFilter ref="A1:P12" xr:uid="{00000000-0009-0000-0000-000001000000}"/>
  <dataValidations count="1">
    <dataValidation type="date" allowBlank="1" showErrorMessage="1" errorTitle="Invalid date" error="Enter a valid date." sqref="J2:K1000" xr:uid="{00000000-0002-0000-0100-000002000000}">
      <formula1>DATE(2020,1,1)</formula1>
      <formula2>DATE(2100,12,31)</formula2>
    </dataValidation>
  </dataValidations>
  <pageMargins left="0.75" right="0.75" top="1" bottom="1" header="0.5" footer="0.5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Lists!$A$2:$A$5</xm:f>
          </x14:formula1>
          <xm:sqref>N2:N1000</xm:sqref>
        </x14:dataValidation>
        <x14:dataValidation type="list" allowBlank="1" xr:uid="{00000000-0002-0000-0100-000001000000}">
          <x14:formula1>
            <xm:f>Lists!$B$2:$B$9</xm:f>
          </x14:formula1>
          <xm:sqref>O2:O1000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B078-4DA7-40B8-9A50-C0F08AD0A079}">
  <dimension ref="A1:M2"/>
  <sheetViews>
    <sheetView workbookViewId="0"/>
  </sheetViews>
  <sheetFormatPr defaultRowHeight="15" x14ac:dyDescent="0.25"/>
  <cols>
    <col min="1" max="1" width="17.28515625" bestFit="1" customWidth="1"/>
    <col min="2" max="2" width="9.7109375" bestFit="1" customWidth="1"/>
    <col min="3" max="3" width="8.42578125" bestFit="1" customWidth="1"/>
    <col min="4" max="4" width="10.28515625" customWidth="1"/>
    <col min="6" max="6" width="17.28515625" customWidth="1"/>
    <col min="7" max="7" width="15" customWidth="1"/>
    <col min="8" max="8" width="12.140625" customWidth="1"/>
    <col min="9" max="9" width="14" customWidth="1"/>
    <col min="10" max="10" width="12" customWidth="1"/>
    <col min="11" max="11" width="15" customWidth="1"/>
    <col min="13" max="13" width="14.5703125" customWidth="1"/>
  </cols>
  <sheetData>
    <row r="1" spans="1:13" ht="36" customHeight="1" x14ac:dyDescent="0.25">
      <c r="A1" s="15" t="s">
        <v>477</v>
      </c>
      <c r="B1" s="15" t="s">
        <v>440</v>
      </c>
      <c r="C1" s="15" t="s">
        <v>35</v>
      </c>
      <c r="D1" s="15" t="s">
        <v>37</v>
      </c>
      <c r="E1" s="15" t="s">
        <v>38</v>
      </c>
      <c r="F1" s="15" t="s">
        <v>478</v>
      </c>
      <c r="G1" s="15" t="s">
        <v>479</v>
      </c>
      <c r="H1" s="15" t="s">
        <v>480</v>
      </c>
      <c r="I1" s="15" t="s">
        <v>481</v>
      </c>
      <c r="J1" s="15" t="s">
        <v>482</v>
      </c>
      <c r="K1" s="15" t="s">
        <v>483</v>
      </c>
      <c r="L1" s="15" t="s">
        <v>444</v>
      </c>
      <c r="M1" s="15" t="s">
        <v>484</v>
      </c>
    </row>
    <row r="2" spans="1:13" ht="45" x14ac:dyDescent="0.25">
      <c r="A2" s="16" t="s">
        <v>485</v>
      </c>
      <c r="B2" s="16" t="s">
        <v>447</v>
      </c>
      <c r="C2" s="16" t="s">
        <v>51</v>
      </c>
      <c r="D2" s="17" t="s">
        <v>448</v>
      </c>
      <c r="E2" s="17" t="s">
        <v>449</v>
      </c>
      <c r="F2" s="1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5" x14ac:dyDescent="0.25"/>
  <sheetData>
    <row r="1" spans="1:2" x14ac:dyDescent="0.25">
      <c r="A1" t="s">
        <v>486</v>
      </c>
      <c r="B1" t="s">
        <v>443</v>
      </c>
    </row>
    <row r="2" spans="1:2" x14ac:dyDescent="0.25">
      <c r="A2" t="s">
        <v>487</v>
      </c>
      <c r="B2" t="s">
        <v>488</v>
      </c>
    </row>
    <row r="3" spans="1:2" x14ac:dyDescent="0.25">
      <c r="A3" t="s">
        <v>489</v>
      </c>
      <c r="B3" t="s">
        <v>490</v>
      </c>
    </row>
    <row r="4" spans="1:2" x14ac:dyDescent="0.25">
      <c r="A4" t="s">
        <v>22</v>
      </c>
      <c r="B4" t="s">
        <v>491</v>
      </c>
    </row>
    <row r="5" spans="1:2" x14ac:dyDescent="0.25">
      <c r="A5" t="s">
        <v>492</v>
      </c>
      <c r="B5" t="s">
        <v>493</v>
      </c>
    </row>
    <row r="6" spans="1:2" x14ac:dyDescent="0.25">
      <c r="B6" t="s">
        <v>494</v>
      </c>
    </row>
    <row r="7" spans="1:2" x14ac:dyDescent="0.25">
      <c r="B7" t="s">
        <v>495</v>
      </c>
    </row>
    <row r="8" spans="1:2" x14ac:dyDescent="0.25">
      <c r="B8" t="s">
        <v>496</v>
      </c>
    </row>
    <row r="9" spans="1:2" x14ac:dyDescent="0.25">
      <c r="B9" t="s">
        <v>497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285B7A643B2E46BA16555857BCDF19" ma:contentTypeVersion="14" ma:contentTypeDescription="Create a new document." ma:contentTypeScope="" ma:versionID="3ea247fbe75cb6bef04cd1d9eb926117">
  <xsd:schema xmlns:xsd="http://www.w3.org/2001/XMLSchema" xmlns:xs="http://www.w3.org/2001/XMLSchema" xmlns:p="http://schemas.microsoft.com/office/2006/metadata/properties" xmlns:ns2="37163877-479e-4f0e-8ec5-da9316247110" xmlns:ns3="857cd9f6-074b-4d9a-9f37-82b68c7809d6" targetNamespace="http://schemas.microsoft.com/office/2006/metadata/properties" ma:root="true" ma:fieldsID="3c587b8d49a60b857ad0bd6d81afd7ca" ns2:_="" ns3:_="">
    <xsd:import namespace="37163877-479e-4f0e-8ec5-da9316247110"/>
    <xsd:import namespace="857cd9f6-074b-4d9a-9f37-82b68c78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163877-479e-4f0e-8ec5-da93162471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cd9f6-074b-4d9a-9f37-82b68c7809d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6ff61b7-cdd0-4aab-968f-43fccdd89f1d}" ma:internalName="TaxCatchAll" ma:showField="CatchAllData" ma:web="857cd9f6-074b-4d9a-9f37-82b68c78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163877-479e-4f0e-8ec5-da9316247110">
      <Terms xmlns="http://schemas.microsoft.com/office/infopath/2007/PartnerControls"/>
    </lcf76f155ced4ddcb4097134ff3c332f>
    <TaxCatchAll xmlns="857cd9f6-074b-4d9a-9f37-82b68c7809d6" xsi:nil="true"/>
  </documentManagement>
</p:properties>
</file>

<file path=customXml/itemProps1.xml><?xml version="1.0" encoding="utf-8"?>
<ds:datastoreItem xmlns:ds="http://schemas.openxmlformats.org/officeDocument/2006/customXml" ds:itemID="{9BD5311C-5620-49A8-8462-F2AFBB1F73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FF7111-C74D-4766-BAAF-6137A281A3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163877-479e-4f0e-8ec5-da9316247110"/>
    <ds:schemaRef ds:uri="857cd9f6-074b-4d9a-9f37-82b68c7809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76C22C-6D6C-44CA-B7C4-B1BB7D6D0E77}">
  <ds:schemaRefs>
    <ds:schemaRef ds:uri="http://schemas.microsoft.com/office/2006/metadata/properties"/>
    <ds:schemaRef ds:uri="http://schemas.microsoft.com/office/infopath/2007/PartnerControls"/>
    <ds:schemaRef ds:uri="37163877-479e-4f0e-8ec5-da9316247110"/>
    <ds:schemaRef ds:uri="857cd9f6-074b-4d9a-9f37-82b68c7809d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Training Data</vt:lpstr>
      <vt:lpstr>Deployment History</vt:lpstr>
      <vt:lpstr>Sheet1</vt:lpstr>
      <vt:lpstr>Training_Deployment_Data</vt:lpstr>
      <vt:lpstr>Project_History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Simplified Power BI Training Deployment Source</dc:title>
  <dc:subject>Training readiness to deployment source table for Power BI</dc:subject>
  <dc:creator>OpenAI</dc:creator>
  <cp:keywords/>
  <dc:description/>
  <cp:lastModifiedBy>JAYVEE Geronimo (AC Manila)</cp:lastModifiedBy>
  <cp:revision/>
  <dcterms:created xsi:type="dcterms:W3CDTF">2026-08-07T08:46:16Z</dcterms:created>
  <dcterms:modified xsi:type="dcterms:W3CDTF">2026-09-14T10:28:55Z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0x010100A4285B7A643B2E46BA16555857BCDF19</vt:lpwstr>
  </property>
  <property fmtid="{D5CDD505-2E9C-101B-9397-08002B2CF9AE}" pid="3" name="MediaServiceImageTags">
    <vt:lpwstr/>
  </property>
</Properties>
</file>